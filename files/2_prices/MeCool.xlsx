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иход 02.03.23" sheetId="1" r:id="rId4"/>
    <sheet state="visible" name="Приход 04.12.23" sheetId="2" r:id="rId5"/>
  </sheets>
  <definedNames/>
  <calcPr/>
</workbook>
</file>

<file path=xl/sharedStrings.xml><?xml version="1.0" encoding="utf-8"?>
<sst xmlns="http://schemas.openxmlformats.org/spreadsheetml/2006/main" count="213" uniqueCount="122">
  <si>
    <t>Item</t>
  </si>
  <si>
    <t>Name</t>
  </si>
  <si>
    <t>Model</t>
  </si>
  <si>
    <t>Бренд</t>
  </si>
  <si>
    <t>Артикул</t>
  </si>
  <si>
    <t>Картинка</t>
  </si>
  <si>
    <t>Описание</t>
  </si>
  <si>
    <t>Unit Price</t>
  </si>
  <si>
    <t>Приезжало</t>
  </si>
  <si>
    <t>QTY</t>
  </si>
  <si>
    <t>Amount</t>
  </si>
  <si>
    <t>Price $</t>
  </si>
  <si>
    <t>Amount $</t>
  </si>
  <si>
    <t>Леша</t>
  </si>
  <si>
    <t>% Леша</t>
  </si>
  <si>
    <t>Kубышка Mecool</t>
  </si>
  <si>
    <t>Опт 1</t>
  </si>
  <si>
    <t>Опт 2</t>
  </si>
  <si>
    <t>Курс</t>
  </si>
  <si>
    <t>Приход от 02.03.2023</t>
  </si>
  <si>
    <t>Курс 20.09.23</t>
  </si>
  <si>
    <t>Приход от 20.09.2023</t>
  </si>
  <si>
    <t>Закупки</t>
  </si>
  <si>
    <t>Общая сумма</t>
  </si>
  <si>
    <t>TV Box</t>
  </si>
  <si>
    <t>Смарт-приставка Mecool KM1 4/32GB</t>
  </si>
  <si>
    <t>KM1</t>
  </si>
  <si>
    <t>Mecool</t>
  </si>
  <si>
    <t>KM1 Delux</t>
  </si>
  <si>
    <t>Amlogic S905X3 RAM+ROM: 4+32GB
System: Android 10
Accessories: HDMI+Remote+EU Adapter</t>
  </si>
  <si>
    <t>Смарт-приставка Mecool KM1 4/64GB</t>
  </si>
  <si>
    <t>KM1 Collective</t>
  </si>
  <si>
    <t>Amlogic S905X3 RAM+ROM: 4+64GB
System: Android 10
Accessories: HDMI+Remote+EU Adapter</t>
  </si>
  <si>
    <t>Смарт-приставка Mecool KM2 2/8GB</t>
  </si>
  <si>
    <t>KM2</t>
  </si>
  <si>
    <t>Amlogic S905X2 RAM+ROM: 2+8GB
System: Android10
Accessories: HDMI+BT Remote+EU</t>
  </si>
  <si>
    <t>Смарт-приставка Mecool KM2 PLUS 2/16GB</t>
  </si>
  <si>
    <t>KM2
PLUS</t>
  </si>
  <si>
    <t>KM2 Plus</t>
  </si>
  <si>
    <t>Amlogic S905X4 RAM+ROM: 2+16GB
Color: Black Android11.0 Material: PC+ABS
Accessories: HDMI+BT Remote+EU
Adapter</t>
  </si>
  <si>
    <t>Смарт-приставка Mecool KM6 4/64GB</t>
  </si>
  <si>
    <t>KM6</t>
  </si>
  <si>
    <t>KM6 Deluxe Edition</t>
  </si>
  <si>
    <t>Amlogic S905X4 RAM+ROM: 4+64GB
System: Android10
Accessories: HDMI+Remote+EU Adapter</t>
  </si>
  <si>
    <t>Смарт-приставка Mecool KM7 PLUS 2/16GB</t>
  </si>
  <si>
    <t>KM7
PLUS</t>
  </si>
  <si>
    <t>KM7 Plus</t>
  </si>
  <si>
    <t>Amlogic S905Y4 RAM+ROM: 2+16GB
System: Android11 Material: PC+ABS
Accessories: HDMI+Remote+EU Adapter</t>
  </si>
  <si>
    <t>Смарт-приставка Mecool KM7 4/64GB</t>
  </si>
  <si>
    <t>KM7</t>
  </si>
  <si>
    <t>Amlogic S905Y4 RAM+ROM: 4+64GB
System: Android 11
Accessories: HDMI+Remote+EU Adapter</t>
  </si>
  <si>
    <t>Смарт-приставка Mecool KM9 PRO Classic 2/16GB</t>
  </si>
  <si>
    <t>KM9PRO</t>
  </si>
  <si>
    <t>KM9 PRO Classic</t>
  </si>
  <si>
    <t>Amlogic S905X2 RAM+ROM: 2+16GB
System: Android10 Material: PC+ABS
Accessories: HDMI+Remote+EU Adapter</t>
  </si>
  <si>
    <t>Смарт-приставка Mecool KD2 4/32GB</t>
  </si>
  <si>
    <t>KD2</t>
  </si>
  <si>
    <t>Amlogic S905Y4 RAM+ROM: 4+32GB
System: Android 11
Accessories: HDMI+Remote+EU Adapter</t>
  </si>
  <si>
    <t>Смарт-приставка Mecool KD3 2/8GB</t>
  </si>
  <si>
    <t>KD3</t>
  </si>
  <si>
    <t>Amlogic S905Y4 RAM+ROM: 2+8GB
System: Google TV
Accessories: HDMI+Remote+EU Adapter</t>
  </si>
  <si>
    <t>Смарт-приставка Mecool KD5 1/8GB</t>
  </si>
  <si>
    <t>KD5</t>
  </si>
  <si>
    <t>Amlogic S805X2 RAM+ROM: 1+8GB
System: Android 11
Accessories: HDMI+Remote+EU Adapter</t>
  </si>
  <si>
    <t>Смарт-приставка Mecool M8S-T2 2/16GB</t>
  </si>
  <si>
    <t>M8S-T2</t>
  </si>
  <si>
    <t>M8S Plus</t>
  </si>
  <si>
    <t>Amlogic S905X2 2+16G DVB-T/T2</t>
  </si>
  <si>
    <t>Смарт-приставка Mecool YOKATV iPX1 2/16GB</t>
  </si>
  <si>
    <t>IPx1</t>
  </si>
  <si>
    <t>Amlogic S905Y4 RAM+ROM: 2+16GB System: AOSP based Android 11 Accessories: HDMI+Remote+EU Adapter</t>
  </si>
  <si>
    <t>Remote
Control</t>
  </si>
  <si>
    <t>Пульт i8</t>
  </si>
  <si>
    <t>i8</t>
  </si>
  <si>
    <t>92keys+2.4GHz wireless</t>
  </si>
  <si>
    <t>Пульт Mecool V01</t>
  </si>
  <si>
    <t>V01</t>
  </si>
  <si>
    <t>Google certified TV BT&amp;IR Remote
with Voice Control+Gyroscope</t>
  </si>
  <si>
    <t>Пульт Mecool V05</t>
  </si>
  <si>
    <t>V02</t>
  </si>
  <si>
    <t>V05</t>
  </si>
  <si>
    <t>Remote for MECOOL TV Box KM2</t>
  </si>
  <si>
    <t>Пульт Mecool V22</t>
  </si>
  <si>
    <t>V22</t>
  </si>
  <si>
    <t>Remote for MECOOL TV Box</t>
  </si>
  <si>
    <t>Пульт Mecool V01 без гироскопа</t>
  </si>
  <si>
    <t>Родной</t>
  </si>
  <si>
    <t>Remote for MECOOL TV Box orig</t>
  </si>
  <si>
    <t>Зачет клинта</t>
  </si>
  <si>
    <t>Остаток</t>
  </si>
  <si>
    <t>Цена ¥</t>
  </si>
  <si>
    <t>Общая сумма ¥</t>
  </si>
  <si>
    <t>Цена $</t>
  </si>
  <si>
    <t>Цена с доставкой</t>
  </si>
  <si>
    <t>Общая сумма $</t>
  </si>
  <si>
    <t>Общая сумма с доставкой:</t>
  </si>
  <si>
    <t>Доставка за единицу</t>
  </si>
  <si>
    <t>Общая стоимость доставки за позицию</t>
  </si>
  <si>
    <t>Kубышка</t>
  </si>
  <si>
    <t>Доставка</t>
  </si>
  <si>
    <t>Оплатили в $</t>
  </si>
  <si>
    <t>Car Box</t>
  </si>
  <si>
    <t>Приставка CarPlay Ai Box Android 13 4/64GB</t>
  </si>
  <si>
    <t>CA30</t>
  </si>
  <si>
    <t>n/a</t>
  </si>
  <si>
    <t>4+64GB Qualcomm SDM662，Snapdragon 8- core, 2.0GHz 11nm Android 13</t>
  </si>
  <si>
    <t>Приставка CarPlay Ai Box Android 13 8/128GB</t>
  </si>
  <si>
    <t>CA50</t>
  </si>
  <si>
    <t>8+128GB Qualcomm SDM662，Snapdragon 8- core, 2.0GHz 11nm Android 13</t>
  </si>
  <si>
    <t>Приставка CarPlay A66 2/32GB</t>
  </si>
  <si>
    <t>A66</t>
  </si>
  <si>
    <t>2+32GB MTK 4-core processor A53 upto 1.3GHZ,Dual Band WiFi 2.4GHz+5.0GHz, Double BT :4.2 BLE+5.0 BLE</t>
  </si>
  <si>
    <t>Смарт-приставка UGOOS TOX3</t>
  </si>
  <si>
    <t>TOX3</t>
  </si>
  <si>
    <t>UGOOS</t>
  </si>
  <si>
    <t>Смарт-приставка UGOOS AM8</t>
  </si>
  <si>
    <t>AM8</t>
  </si>
  <si>
    <t>Смарт-приставка UGOOS X4Q PRO</t>
  </si>
  <si>
    <t>X4Q PRO</t>
  </si>
  <si>
    <t>Пульт Ugoos UR-01</t>
  </si>
  <si>
    <t>UR-01</t>
  </si>
  <si>
    <t>UGO0S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</si>
</sst>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[$¥-804]* #,##0.00_ ;_ [$¥-804]* \-#,##0.00_ ;_ [$¥-804]* &quot;-&quot;??_ ;_ @_ "/>
    <numFmt numFmtId="165" formatCode="_-[$$-409]* #,##0.00_ ;_-[$$-409]* \-#,##0.00\ ;_-[$$-409]* &quot;-&quot;??_ ;_-@_ "/>
  </numFmts>
  <fonts count="17">
    <font>
      <sz val="10.0"/>
      <color rgb="FF000000"/>
      <name val="Calibri"/>
      <scheme val="minor"/>
    </font>
    <font>
      <b/>
      <sz val="7.0"/>
      <color rgb="FF000000"/>
      <name val="Arial"/>
    </font>
    <font>
      <b/>
      <sz val="7.0"/>
      <color rgb="FFFF0000"/>
      <name val="Arial"/>
    </font>
    <font>
      <b/>
      <sz val="7.0"/>
      <color theme="1"/>
      <name val="Arial"/>
    </font>
    <font>
      <sz val="10.0"/>
      <color theme="1"/>
      <name val="Arial"/>
    </font>
    <font>
      <sz val="6.0"/>
      <color rgb="FF000000"/>
      <name val="Source han sans cn"/>
    </font>
    <font>
      <b/>
      <sz val="7.0"/>
      <color rgb="FF000000"/>
      <name val="Source han sans cn"/>
    </font>
    <font>
      <sz val="6.0"/>
      <color rgb="FF000000"/>
      <name val="Arial"/>
    </font>
    <font>
      <sz val="7.0"/>
      <color rgb="FF000000"/>
      <name val="Arial"/>
    </font>
    <font>
      <sz val="7.0"/>
      <color rgb="FFFF0000"/>
      <name val="Arial"/>
    </font>
    <font>
      <b/>
      <sz val="7.0"/>
      <color rgb="FFFF0000"/>
      <name val="Source han sans cn"/>
    </font>
    <font>
      <b/>
      <sz val="7.0"/>
      <color rgb="FF1C4587"/>
      <name val="Source han sans cn"/>
    </font>
    <font>
      <b/>
      <sz val="7.0"/>
      <color rgb="FF6AA84F"/>
      <name val="Source han sans cn"/>
    </font>
    <font>
      <color theme="1"/>
      <name val="Calibri"/>
      <scheme val="minor"/>
    </font>
    <font>
      <sz val="9.0"/>
      <color theme="1"/>
      <name val="Calibri"/>
      <scheme val="minor"/>
    </font>
    <font>
      <sz val="10.0"/>
      <color rgb="FFFF0000"/>
      <name val="Arial"/>
    </font>
    <font>
      <color rgb="FF00000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2" fillId="0" fontId="1" numFmtId="2" xfId="0" applyAlignment="1" applyBorder="1" applyFont="1" applyNumberFormat="1">
      <alignment horizontal="center" readingOrder="0" shrinkToFit="0" vertical="center" wrapText="1"/>
    </xf>
    <xf borderId="3" fillId="0" fontId="5" numFmtId="2" xfId="0" applyAlignment="1" applyBorder="1" applyFont="1" applyNumberFormat="1">
      <alignment horizontal="center" shrinkToFit="0" vertical="center" wrapText="1"/>
    </xf>
    <xf borderId="3" fillId="0" fontId="6" numFmtId="2" xfId="0" applyAlignment="1" applyBorder="1" applyFont="1" applyNumberFormat="1">
      <alignment horizontal="center" shrinkToFit="0" vertical="center" wrapText="1"/>
    </xf>
    <xf borderId="3" fillId="0" fontId="1" numFmtId="2" xfId="0" applyAlignment="1" applyBorder="1" applyFont="1" applyNumberFormat="1">
      <alignment horizontal="center" readingOrder="0" shrinkToFit="0" vertical="center" wrapText="1"/>
    </xf>
    <xf borderId="3" fillId="0" fontId="7" numFmtId="0" xfId="0" applyAlignment="1" applyBorder="1" applyFont="1">
      <alignment readingOrder="0" shrinkToFit="0" vertical="center" wrapText="1"/>
    </xf>
    <xf borderId="3" fillId="0" fontId="7" numFmtId="0" xfId="0" applyAlignment="1" applyBorder="1" applyFont="1">
      <alignment shrinkToFit="0" vertical="center" wrapText="1"/>
    </xf>
    <xf borderId="1" fillId="0" fontId="8" numFmtId="1" xfId="0" applyAlignment="1" applyBorder="1" applyFont="1" applyNumberFormat="1">
      <alignment horizontal="center" readingOrder="0" shrinkToFit="0" vertical="center" wrapText="1"/>
    </xf>
    <xf borderId="1" fillId="0" fontId="9" numFmtId="1" xfId="0" applyAlignment="1" applyBorder="1" applyFont="1" applyNumberFormat="1">
      <alignment horizontal="center" readingOrder="0" shrinkToFit="0" vertical="center" wrapText="1"/>
    </xf>
    <xf borderId="4" fillId="0" fontId="8" numFmtId="2" xfId="0" applyAlignment="1" applyBorder="1" applyFont="1" applyNumberFormat="1">
      <alignment horizontal="center" shrinkToFit="0" vertical="center" wrapText="1"/>
    </xf>
    <xf borderId="2" fillId="0" fontId="6" numFmtId="2" xfId="0" applyAlignment="1" applyBorder="1" applyFont="1" applyNumberFormat="1">
      <alignment horizontal="center" shrinkToFit="0" vertical="center" wrapText="1"/>
    </xf>
    <xf borderId="2" fillId="0" fontId="10" numFmtId="2" xfId="0" applyAlignment="1" applyBorder="1" applyFont="1" applyNumberFormat="1">
      <alignment horizontal="center" shrinkToFit="0" vertical="center" wrapText="1"/>
    </xf>
    <xf borderId="2" fillId="0" fontId="11" numFmtId="2" xfId="0" applyAlignment="1" applyBorder="1" applyFont="1" applyNumberFormat="1">
      <alignment horizontal="center" shrinkToFit="0" vertical="center" wrapText="1"/>
    </xf>
    <xf borderId="3" fillId="0" fontId="12" numFmtId="2" xfId="0" applyAlignment="1" applyBorder="1" applyFont="1" applyNumberFormat="1">
      <alignment horizontal="center" shrinkToFit="0" vertical="center" wrapText="1"/>
    </xf>
    <xf borderId="2" fillId="2" fontId="6" numFmtId="2" xfId="0" applyAlignment="1" applyBorder="1" applyFill="1" applyFont="1" applyNumberFormat="1">
      <alignment horizontal="center" shrinkToFit="0" vertical="center" wrapText="1"/>
    </xf>
    <xf borderId="0" fillId="2" fontId="13" numFmtId="0" xfId="0" applyFont="1"/>
    <xf borderId="0" fillId="0" fontId="6" numFmtId="2" xfId="0" applyAlignment="1" applyFont="1" applyNumberFormat="1">
      <alignment horizontal="center" shrinkToFit="0" vertical="center" wrapText="1"/>
    </xf>
    <xf borderId="0" fillId="2" fontId="6" numFmtId="2" xfId="0" applyAlignment="1" applyFont="1" applyNumberFormat="1">
      <alignment horizontal="center" shrinkToFit="0" vertical="center" wrapText="1"/>
    </xf>
    <xf borderId="2" fillId="2" fontId="1" numFmtId="2" xfId="0" applyAlignment="1" applyBorder="1" applyFont="1" applyNumberFormat="1">
      <alignment horizontal="center" readingOrder="0" shrinkToFit="0" vertical="center" wrapText="1"/>
    </xf>
    <xf borderId="4" fillId="0" fontId="8" numFmtId="2" xfId="0" applyAlignment="1" applyBorder="1" applyFont="1" applyNumberFormat="1">
      <alignment horizontal="center" readingOrder="0" shrinkToFit="0" vertical="center" wrapText="1"/>
    </xf>
    <xf borderId="2" fillId="0" fontId="9" numFmtId="1" xfId="0" applyAlignment="1" applyBorder="1" applyFont="1" applyNumberForma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right" shrinkToFit="0" vertical="center" wrapText="1"/>
    </xf>
    <xf borderId="2" fillId="0" fontId="1" numFmtId="1" xfId="0" applyAlignment="1" applyBorder="1" applyFont="1" applyNumberFormat="1">
      <alignment horizontal="center" readingOrder="0" shrinkToFit="0" vertical="center" wrapText="1"/>
    </xf>
    <xf borderId="0" fillId="0" fontId="2" numFmtId="1" xfId="0" applyAlignment="1" applyFont="1" applyNumberFormat="1">
      <alignment horizontal="center" shrinkToFit="0" vertical="center" wrapText="1"/>
    </xf>
    <xf borderId="2" fillId="0" fontId="1" numFmtId="164" xfId="0" applyAlignment="1" applyBorder="1" applyFont="1" applyNumberFormat="1">
      <alignment horizontal="center" shrinkToFit="0" vertical="center" wrapText="1"/>
    </xf>
    <xf borderId="2" fillId="0" fontId="1" numFmtId="165" xfId="0" applyAlignment="1" applyBorder="1" applyFont="1" applyNumberFormat="1">
      <alignment horizontal="center" shrinkToFit="0" vertical="center" wrapText="1"/>
    </xf>
    <xf borderId="0" fillId="0" fontId="15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2" fillId="2" fontId="1" numFmtId="164" xfId="0" applyAlignment="1" applyBorder="1" applyFont="1" applyNumberFormat="1">
      <alignment horizontal="center" shrinkToFit="0" vertical="center" wrapText="1"/>
    </xf>
    <xf borderId="2" fillId="2" fontId="1" numFmtId="165" xfId="0" applyAlignment="1" applyBorder="1" applyFont="1" applyNumberFormat="1">
      <alignment horizontal="center" shrinkToFit="0" vertical="center" wrapText="1"/>
    </xf>
    <xf borderId="0" fillId="0" fontId="4" numFmtId="0" xfId="0" applyFont="1"/>
    <xf borderId="0" fillId="0" fontId="4" numFmtId="2" xfId="0" applyFont="1" applyNumberFormat="1"/>
    <xf borderId="0" fillId="0" fontId="15" numFmtId="2" xfId="0" applyFont="1" applyNumberFormat="1"/>
    <xf borderId="0" fillId="0" fontId="15" numFmtId="0" xfId="0" applyFont="1"/>
    <xf borderId="1" fillId="0" fontId="2" numFmtId="0" xfId="0" applyAlignment="1" applyBorder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3" fillId="0" fontId="7" numFmtId="2" xfId="0" applyAlignment="1" applyBorder="1" applyFont="1" applyNumberFormat="1">
      <alignment horizontal="center" readingOrder="0" shrinkToFit="0" vertical="center" wrapText="1"/>
    </xf>
    <xf borderId="3" fillId="3" fontId="6" numFmtId="2" xfId="0" applyAlignment="1" applyBorder="1" applyFont="1" applyNumberFormat="1">
      <alignment horizontal="center" shrinkToFit="0" vertical="center" wrapText="1"/>
    </xf>
    <xf borderId="3" fillId="0" fontId="8" numFmtId="1" xfId="0" applyAlignment="1" applyBorder="1" applyFont="1" applyNumberFormat="1">
      <alignment horizontal="center" readingOrder="0" shrinkToFit="0" vertical="center" wrapText="1"/>
    </xf>
    <xf borderId="3" fillId="0" fontId="9" numFmtId="1" xfId="0" applyAlignment="1" applyBorder="1" applyFont="1" applyNumberForma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12.86"/>
    <col customWidth="1" min="3" max="5" width="10.29"/>
    <col customWidth="1" min="6" max="6" width="7.29"/>
    <col customWidth="1" min="7" max="7" width="23.43"/>
    <col customWidth="1" min="8" max="8" width="8.57"/>
    <col customWidth="1" min="9" max="10" width="4.29"/>
    <col customWidth="1" min="11" max="11" width="8.43"/>
    <col customWidth="1" min="12" max="13" width="9.0"/>
    <col customWidth="1" min="14" max="14" width="12.43"/>
    <col customWidth="1" min="15" max="16" width="9.0"/>
    <col customWidth="1" min="18" max="21" width="9.0"/>
    <col customWidth="1" min="22" max="22" width="13.71"/>
    <col customWidth="1" min="23" max="25" width="11.43"/>
    <col customWidth="1" min="26" max="26" width="10.0"/>
    <col customWidth="1" min="27" max="32" width="9.0"/>
  </cols>
  <sheetData>
    <row r="1" ht="18.0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6" t="s">
        <v>14</v>
      </c>
      <c r="P1" s="6" t="s">
        <v>15</v>
      </c>
      <c r="Q1" s="4" t="s">
        <v>16</v>
      </c>
      <c r="R1" s="7" t="s">
        <v>17</v>
      </c>
      <c r="S1" s="6" t="s">
        <v>15</v>
      </c>
      <c r="T1" s="8"/>
      <c r="U1" s="4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8"/>
      <c r="AB1" s="8"/>
      <c r="AC1" s="8"/>
      <c r="AD1" s="8"/>
      <c r="AE1" s="8"/>
      <c r="AF1" s="8"/>
    </row>
    <row r="2" ht="30.75" customHeight="1">
      <c r="A2" s="10" t="s">
        <v>24</v>
      </c>
      <c r="B2" s="11" t="s">
        <v>25</v>
      </c>
      <c r="C2" s="11" t="s">
        <v>26</v>
      </c>
      <c r="D2" s="12" t="s">
        <v>27</v>
      </c>
      <c r="E2" s="12" t="s">
        <v>28</v>
      </c>
      <c r="F2" s="13"/>
      <c r="G2" s="14" t="s">
        <v>29</v>
      </c>
      <c r="H2" s="11">
        <v>295.0</v>
      </c>
      <c r="I2" s="15">
        <v>20.0</v>
      </c>
      <c r="J2" s="16">
        <v>11.0</v>
      </c>
      <c r="K2" s="17">
        <v>5900.0</v>
      </c>
      <c r="L2" s="11">
        <f t="shared" ref="L2:L18" si="1">H2/$U$2</f>
        <v>47.0170702</v>
      </c>
      <c r="M2" s="18">
        <f t="shared" ref="M2:M18" si="2">L2*J2</f>
        <v>517.1877722</v>
      </c>
      <c r="N2" s="19">
        <f t="shared" ref="N2:N10" si="3">L2+(L2*0.1)</f>
        <v>51.71877722</v>
      </c>
      <c r="O2" s="20">
        <f t="shared" ref="O2:O18" si="4">N2-L2</f>
        <v>4.70170702</v>
      </c>
      <c r="P2" s="21">
        <f t="shared" ref="P2:P18" si="5">Q2-N2</f>
        <v>4.70170702</v>
      </c>
      <c r="Q2" s="11">
        <f t="shared" ref="Q2:Q18" si="6">L2+(L2*0.2)</f>
        <v>56.42048424</v>
      </c>
      <c r="R2" s="18">
        <f t="shared" ref="R2:R18" si="7">L2+(L2*0.3)</f>
        <v>61.12219126</v>
      </c>
      <c r="S2" s="9">
        <f t="shared" ref="S2:S18" si="8">(I2-J2)*P2</f>
        <v>42.31536318</v>
      </c>
      <c r="U2" s="18">
        <f>K20/9150</f>
        <v>6.27431694</v>
      </c>
      <c r="V2" s="18">
        <v>20.0</v>
      </c>
      <c r="W2" s="22">
        <f>(Z20/2478)-(Z20/2478)*0.03</f>
        <v>6.429479419</v>
      </c>
      <c r="X2" s="22"/>
      <c r="Y2" s="22"/>
      <c r="Z2" s="22">
        <f t="shared" ref="Z2:Z19" si="9">X2*Y2</f>
        <v>0</v>
      </c>
      <c r="AA2" s="23"/>
    </row>
    <row r="3" ht="30.75" customHeight="1">
      <c r="A3" s="10" t="s">
        <v>24</v>
      </c>
      <c r="B3" s="11" t="s">
        <v>30</v>
      </c>
      <c r="C3" s="11" t="s">
        <v>26</v>
      </c>
      <c r="D3" s="12" t="s">
        <v>27</v>
      </c>
      <c r="E3" s="12" t="s">
        <v>31</v>
      </c>
      <c r="F3" s="13"/>
      <c r="G3" s="14" t="s">
        <v>32</v>
      </c>
      <c r="H3" s="11">
        <v>335.0</v>
      </c>
      <c r="I3" s="15">
        <v>20.0</v>
      </c>
      <c r="J3" s="16">
        <v>15.0</v>
      </c>
      <c r="K3" s="17">
        <v>6700.0</v>
      </c>
      <c r="L3" s="11">
        <f t="shared" si="1"/>
        <v>53.39226616</v>
      </c>
      <c r="M3" s="18">
        <f t="shared" si="2"/>
        <v>800.8839923</v>
      </c>
      <c r="N3" s="19">
        <f t="shared" si="3"/>
        <v>58.73149277</v>
      </c>
      <c r="O3" s="20">
        <f t="shared" si="4"/>
        <v>5.339226616</v>
      </c>
      <c r="P3" s="21">
        <f t="shared" si="5"/>
        <v>5.339226616</v>
      </c>
      <c r="Q3" s="11">
        <f t="shared" si="6"/>
        <v>64.07071939</v>
      </c>
      <c r="R3" s="18">
        <f t="shared" si="7"/>
        <v>69.409946</v>
      </c>
      <c r="S3" s="9">
        <f t="shared" si="8"/>
        <v>26.69613308</v>
      </c>
      <c r="U3" s="24"/>
      <c r="V3" s="18">
        <v>20.0</v>
      </c>
      <c r="W3" s="25"/>
      <c r="X3" s="22"/>
      <c r="Y3" s="22"/>
      <c r="Z3" s="22">
        <f t="shared" si="9"/>
        <v>0</v>
      </c>
      <c r="AA3" s="23"/>
    </row>
    <row r="4" ht="30.75" customHeight="1">
      <c r="A4" s="10" t="s">
        <v>24</v>
      </c>
      <c r="B4" s="11" t="s">
        <v>33</v>
      </c>
      <c r="C4" s="11" t="s">
        <v>34</v>
      </c>
      <c r="D4" s="12" t="s">
        <v>27</v>
      </c>
      <c r="E4" s="12" t="s">
        <v>34</v>
      </c>
      <c r="F4" s="13"/>
      <c r="G4" s="14" t="s">
        <v>35</v>
      </c>
      <c r="H4" s="11">
        <v>310.0</v>
      </c>
      <c r="I4" s="15">
        <v>10.0</v>
      </c>
      <c r="J4" s="16">
        <v>9.0</v>
      </c>
      <c r="K4" s="17">
        <v>3100.0</v>
      </c>
      <c r="L4" s="11">
        <f t="shared" si="1"/>
        <v>49.40776868</v>
      </c>
      <c r="M4" s="18">
        <f t="shared" si="2"/>
        <v>444.6699181</v>
      </c>
      <c r="N4" s="19">
        <f t="shared" si="3"/>
        <v>54.34854555</v>
      </c>
      <c r="O4" s="20">
        <f t="shared" si="4"/>
        <v>4.940776868</v>
      </c>
      <c r="P4" s="21">
        <f t="shared" si="5"/>
        <v>4.940776868</v>
      </c>
      <c r="Q4" s="11">
        <f t="shared" si="6"/>
        <v>59.28932242</v>
      </c>
      <c r="R4" s="18">
        <f t="shared" si="7"/>
        <v>64.23009929</v>
      </c>
      <c r="S4" s="9">
        <f t="shared" si="8"/>
        <v>4.940776868</v>
      </c>
      <c r="U4" s="24"/>
      <c r="V4" s="18">
        <v>10.0</v>
      </c>
      <c r="W4" s="25"/>
      <c r="X4" s="22"/>
      <c r="Y4" s="22"/>
      <c r="Z4" s="22">
        <f t="shared" si="9"/>
        <v>0</v>
      </c>
      <c r="AA4" s="23"/>
    </row>
    <row r="5" ht="30.75" customHeight="1">
      <c r="A5" s="10" t="s">
        <v>24</v>
      </c>
      <c r="B5" s="11" t="s">
        <v>36</v>
      </c>
      <c r="C5" s="11" t="s">
        <v>37</v>
      </c>
      <c r="D5" s="12" t="s">
        <v>27</v>
      </c>
      <c r="E5" s="12" t="s">
        <v>38</v>
      </c>
      <c r="F5" s="13"/>
      <c r="G5" s="14" t="s">
        <v>39</v>
      </c>
      <c r="H5" s="11">
        <v>345.0</v>
      </c>
      <c r="I5" s="15">
        <v>20.0</v>
      </c>
      <c r="J5" s="16">
        <v>0.0</v>
      </c>
      <c r="K5" s="17">
        <v>6900.0</v>
      </c>
      <c r="L5" s="11">
        <f t="shared" si="1"/>
        <v>54.98606515</v>
      </c>
      <c r="M5" s="18">
        <f t="shared" si="2"/>
        <v>0</v>
      </c>
      <c r="N5" s="19">
        <f t="shared" si="3"/>
        <v>60.48467166</v>
      </c>
      <c r="O5" s="20">
        <f t="shared" si="4"/>
        <v>5.498606515</v>
      </c>
      <c r="P5" s="21">
        <f t="shared" si="5"/>
        <v>5.498606515</v>
      </c>
      <c r="Q5" s="11">
        <f t="shared" si="6"/>
        <v>65.98327817</v>
      </c>
      <c r="R5" s="18">
        <f t="shared" si="7"/>
        <v>71.48188469</v>
      </c>
      <c r="S5" s="9">
        <f t="shared" si="8"/>
        <v>109.9721303</v>
      </c>
      <c r="U5" s="24"/>
      <c r="V5" s="18">
        <v>20.0</v>
      </c>
      <c r="W5" s="25"/>
      <c r="X5" s="22">
        <v>10.0</v>
      </c>
      <c r="Y5" s="26">
        <v>342.5</v>
      </c>
      <c r="Z5" s="22">
        <f t="shared" si="9"/>
        <v>3425</v>
      </c>
      <c r="AA5" s="23"/>
    </row>
    <row r="6" ht="30.75" customHeight="1">
      <c r="A6" s="10" t="s">
        <v>24</v>
      </c>
      <c r="B6" s="11" t="s">
        <v>40</v>
      </c>
      <c r="C6" s="11" t="s">
        <v>41</v>
      </c>
      <c r="D6" s="12" t="s">
        <v>27</v>
      </c>
      <c r="E6" s="12" t="s">
        <v>42</v>
      </c>
      <c r="F6" s="13"/>
      <c r="G6" s="14" t="s">
        <v>43</v>
      </c>
      <c r="H6" s="11">
        <v>475.0</v>
      </c>
      <c r="I6" s="15">
        <v>10.0</v>
      </c>
      <c r="J6" s="16">
        <v>0.0</v>
      </c>
      <c r="K6" s="17">
        <v>4750.0</v>
      </c>
      <c r="L6" s="11">
        <f t="shared" si="1"/>
        <v>75.70545201</v>
      </c>
      <c r="M6" s="18">
        <f t="shared" si="2"/>
        <v>0</v>
      </c>
      <c r="N6" s="19">
        <f t="shared" si="3"/>
        <v>83.27599721</v>
      </c>
      <c r="O6" s="20">
        <f t="shared" si="4"/>
        <v>7.570545201</v>
      </c>
      <c r="P6" s="21">
        <f t="shared" si="5"/>
        <v>7.570545201</v>
      </c>
      <c r="Q6" s="11">
        <f t="shared" si="6"/>
        <v>90.84654241</v>
      </c>
      <c r="R6" s="18">
        <f t="shared" si="7"/>
        <v>98.41708762</v>
      </c>
      <c r="S6" s="9">
        <f t="shared" si="8"/>
        <v>75.70545201</v>
      </c>
      <c r="U6" s="24"/>
      <c r="V6" s="18">
        <v>10.0</v>
      </c>
      <c r="W6" s="25"/>
      <c r="X6" s="22">
        <v>10.0</v>
      </c>
      <c r="Y6" s="26">
        <v>477.5</v>
      </c>
      <c r="Z6" s="22">
        <f t="shared" si="9"/>
        <v>4775</v>
      </c>
      <c r="AA6" s="23"/>
    </row>
    <row r="7" ht="30.75" customHeight="1">
      <c r="A7" s="10" t="s">
        <v>24</v>
      </c>
      <c r="B7" s="11" t="s">
        <v>44</v>
      </c>
      <c r="C7" s="11" t="s">
        <v>45</v>
      </c>
      <c r="D7" s="12" t="s">
        <v>27</v>
      </c>
      <c r="E7" s="12" t="s">
        <v>46</v>
      </c>
      <c r="F7" s="13"/>
      <c r="G7" s="14" t="s">
        <v>47</v>
      </c>
      <c r="H7" s="11">
        <v>305.0</v>
      </c>
      <c r="I7" s="15">
        <v>10.0</v>
      </c>
      <c r="J7" s="16">
        <v>0.0</v>
      </c>
      <c r="K7" s="17">
        <v>3050.0</v>
      </c>
      <c r="L7" s="11">
        <f t="shared" si="1"/>
        <v>48.61086919</v>
      </c>
      <c r="M7" s="18">
        <f t="shared" si="2"/>
        <v>0</v>
      </c>
      <c r="N7" s="19">
        <f t="shared" si="3"/>
        <v>53.47195611</v>
      </c>
      <c r="O7" s="20">
        <f t="shared" si="4"/>
        <v>4.861086919</v>
      </c>
      <c r="P7" s="21">
        <f t="shared" si="5"/>
        <v>4.861086919</v>
      </c>
      <c r="Q7" s="11">
        <f t="shared" si="6"/>
        <v>58.33304302</v>
      </c>
      <c r="R7" s="18">
        <f t="shared" si="7"/>
        <v>63.19412994</v>
      </c>
      <c r="S7" s="9">
        <f t="shared" si="8"/>
        <v>48.61086919</v>
      </c>
      <c r="U7" s="24"/>
      <c r="V7" s="18">
        <v>10.0</v>
      </c>
      <c r="W7" s="25"/>
      <c r="X7" s="26">
        <v>10.0</v>
      </c>
      <c r="Y7" s="26">
        <v>302.5</v>
      </c>
      <c r="Z7" s="22">
        <f t="shared" si="9"/>
        <v>3025</v>
      </c>
      <c r="AA7" s="23"/>
    </row>
    <row r="8" ht="30.75" customHeight="1">
      <c r="A8" s="10" t="s">
        <v>24</v>
      </c>
      <c r="B8" s="11" t="s">
        <v>48</v>
      </c>
      <c r="C8" s="11" t="s">
        <v>49</v>
      </c>
      <c r="D8" s="12" t="s">
        <v>27</v>
      </c>
      <c r="E8" s="12" t="s">
        <v>49</v>
      </c>
      <c r="F8" s="13"/>
      <c r="G8" s="14" t="s">
        <v>50</v>
      </c>
      <c r="H8" s="11">
        <v>350.0</v>
      </c>
      <c r="I8" s="15">
        <v>10.0</v>
      </c>
      <c r="J8" s="16">
        <v>0.0</v>
      </c>
      <c r="K8" s="17">
        <v>3500.0</v>
      </c>
      <c r="L8" s="11">
        <f t="shared" si="1"/>
        <v>55.78296464</v>
      </c>
      <c r="M8" s="18">
        <f t="shared" si="2"/>
        <v>0</v>
      </c>
      <c r="N8" s="19">
        <f t="shared" si="3"/>
        <v>61.3612611</v>
      </c>
      <c r="O8" s="20">
        <f t="shared" si="4"/>
        <v>5.578296464</v>
      </c>
      <c r="P8" s="21">
        <f t="shared" si="5"/>
        <v>5.578296464</v>
      </c>
      <c r="Q8" s="11">
        <f t="shared" si="6"/>
        <v>66.93955757</v>
      </c>
      <c r="R8" s="18">
        <f t="shared" si="7"/>
        <v>72.51785403</v>
      </c>
      <c r="S8" s="9">
        <f t="shared" si="8"/>
        <v>55.78296464</v>
      </c>
      <c r="U8" s="24"/>
      <c r="V8" s="18">
        <v>10.0</v>
      </c>
      <c r="W8" s="25"/>
      <c r="X8" s="22"/>
      <c r="Y8" s="22"/>
      <c r="Z8" s="22">
        <f t="shared" si="9"/>
        <v>0</v>
      </c>
      <c r="AA8" s="23"/>
    </row>
    <row r="9" ht="30.75" customHeight="1">
      <c r="A9" s="10" t="s">
        <v>24</v>
      </c>
      <c r="B9" s="12" t="s">
        <v>51</v>
      </c>
      <c r="C9" s="11" t="s">
        <v>52</v>
      </c>
      <c r="D9" s="12" t="s">
        <v>27</v>
      </c>
      <c r="E9" s="12" t="s">
        <v>53</v>
      </c>
      <c r="F9" s="13"/>
      <c r="G9" s="14" t="s">
        <v>54</v>
      </c>
      <c r="H9" s="11">
        <v>230.0</v>
      </c>
      <c r="I9" s="15">
        <v>20.0</v>
      </c>
      <c r="J9" s="16">
        <v>8.0</v>
      </c>
      <c r="K9" s="17">
        <v>4600.0</v>
      </c>
      <c r="L9" s="11">
        <f t="shared" si="1"/>
        <v>36.65737676</v>
      </c>
      <c r="M9" s="18">
        <f t="shared" si="2"/>
        <v>293.2590141</v>
      </c>
      <c r="N9" s="19">
        <f t="shared" si="3"/>
        <v>40.32311444</v>
      </c>
      <c r="O9" s="20">
        <f t="shared" si="4"/>
        <v>3.665737676</v>
      </c>
      <c r="P9" s="21">
        <f t="shared" si="5"/>
        <v>3.665737676</v>
      </c>
      <c r="Q9" s="11">
        <f t="shared" si="6"/>
        <v>43.98885212</v>
      </c>
      <c r="R9" s="18">
        <f t="shared" si="7"/>
        <v>47.65458979</v>
      </c>
      <c r="S9" s="9">
        <f t="shared" si="8"/>
        <v>43.98885212</v>
      </c>
      <c r="U9" s="24"/>
      <c r="V9" s="18">
        <v>20.0</v>
      </c>
      <c r="W9" s="25"/>
      <c r="X9" s="22"/>
      <c r="Y9" s="22"/>
      <c r="Z9" s="22">
        <f t="shared" si="9"/>
        <v>0</v>
      </c>
      <c r="AA9" s="23"/>
    </row>
    <row r="10" ht="30.75" customHeight="1">
      <c r="A10" s="10" t="s">
        <v>24</v>
      </c>
      <c r="B10" s="11" t="s">
        <v>55</v>
      </c>
      <c r="C10" s="11" t="s">
        <v>56</v>
      </c>
      <c r="D10" s="12" t="s">
        <v>27</v>
      </c>
      <c r="E10" s="12" t="s">
        <v>56</v>
      </c>
      <c r="F10" s="13"/>
      <c r="G10" s="14" t="s">
        <v>57</v>
      </c>
      <c r="H10" s="11">
        <v>300.0</v>
      </c>
      <c r="I10" s="15">
        <v>20.0</v>
      </c>
      <c r="J10" s="16">
        <v>10.0</v>
      </c>
      <c r="K10" s="17">
        <v>6000.0</v>
      </c>
      <c r="L10" s="11">
        <f t="shared" si="1"/>
        <v>47.81396969</v>
      </c>
      <c r="M10" s="18">
        <f t="shared" si="2"/>
        <v>478.1396969</v>
      </c>
      <c r="N10" s="19">
        <f t="shared" si="3"/>
        <v>52.59536666</v>
      </c>
      <c r="O10" s="20">
        <f t="shared" si="4"/>
        <v>4.781396969</v>
      </c>
      <c r="P10" s="21">
        <f t="shared" si="5"/>
        <v>4.781396969</v>
      </c>
      <c r="Q10" s="11">
        <f t="shared" si="6"/>
        <v>57.37676363</v>
      </c>
      <c r="R10" s="18">
        <f t="shared" si="7"/>
        <v>62.1581606</v>
      </c>
      <c r="S10" s="9">
        <f t="shared" si="8"/>
        <v>47.81396969</v>
      </c>
      <c r="U10" s="24"/>
      <c r="V10" s="18">
        <v>20.0</v>
      </c>
      <c r="W10" s="25"/>
      <c r="X10" s="22">
        <v>10.0</v>
      </c>
      <c r="Y10" s="26">
        <v>302.5</v>
      </c>
      <c r="Z10" s="22">
        <f t="shared" si="9"/>
        <v>3025</v>
      </c>
      <c r="AA10" s="23"/>
    </row>
    <row r="11" ht="30.75" customHeight="1">
      <c r="A11" s="10" t="s">
        <v>24</v>
      </c>
      <c r="B11" s="11" t="s">
        <v>58</v>
      </c>
      <c r="C11" s="11" t="s">
        <v>59</v>
      </c>
      <c r="D11" s="12" t="s">
        <v>27</v>
      </c>
      <c r="E11" s="12" t="s">
        <v>59</v>
      </c>
      <c r="F11" s="13"/>
      <c r="G11" s="14" t="s">
        <v>60</v>
      </c>
      <c r="H11" s="11">
        <v>265.0</v>
      </c>
      <c r="I11" s="15">
        <v>20.0</v>
      </c>
      <c r="J11" s="16">
        <v>8.0</v>
      </c>
      <c r="K11" s="17">
        <v>5300.0</v>
      </c>
      <c r="L11" s="11">
        <f t="shared" si="1"/>
        <v>42.23567323</v>
      </c>
      <c r="M11" s="18">
        <f t="shared" si="2"/>
        <v>337.8853858</v>
      </c>
      <c r="N11" s="19">
        <f t="shared" ref="N11:N12" si="10">L11+(L11*0.05)</f>
        <v>44.34745689</v>
      </c>
      <c r="O11" s="20">
        <f t="shared" si="4"/>
        <v>2.111783661</v>
      </c>
      <c r="P11" s="21">
        <f t="shared" si="5"/>
        <v>6.335350984</v>
      </c>
      <c r="Q11" s="11">
        <f t="shared" si="6"/>
        <v>50.68280787</v>
      </c>
      <c r="R11" s="18">
        <f t="shared" si="7"/>
        <v>54.9063752</v>
      </c>
      <c r="S11" s="9">
        <f t="shared" si="8"/>
        <v>76.02421181</v>
      </c>
      <c r="U11" s="24"/>
      <c r="V11" s="18">
        <v>20.0</v>
      </c>
      <c r="W11" s="25"/>
      <c r="X11" s="22"/>
      <c r="Y11" s="22"/>
      <c r="Z11" s="22">
        <f t="shared" si="9"/>
        <v>0</v>
      </c>
      <c r="AA11" s="23"/>
    </row>
    <row r="12" ht="30.75" customHeight="1">
      <c r="A12" s="10" t="s">
        <v>24</v>
      </c>
      <c r="B12" s="11" t="s">
        <v>61</v>
      </c>
      <c r="C12" s="11" t="s">
        <v>62</v>
      </c>
      <c r="D12" s="12" t="s">
        <v>27</v>
      </c>
      <c r="E12" s="12" t="s">
        <v>62</v>
      </c>
      <c r="F12" s="13"/>
      <c r="G12" s="14" t="s">
        <v>63</v>
      </c>
      <c r="H12" s="11">
        <v>215.0</v>
      </c>
      <c r="I12" s="15">
        <v>20.0</v>
      </c>
      <c r="J12" s="16">
        <v>15.0</v>
      </c>
      <c r="K12" s="17">
        <v>4300.0</v>
      </c>
      <c r="L12" s="11">
        <f t="shared" si="1"/>
        <v>34.26667828</v>
      </c>
      <c r="M12" s="18">
        <f t="shared" si="2"/>
        <v>514.0001742</v>
      </c>
      <c r="N12" s="19">
        <f t="shared" si="10"/>
        <v>35.98001219</v>
      </c>
      <c r="O12" s="20">
        <f t="shared" si="4"/>
        <v>1.713333914</v>
      </c>
      <c r="P12" s="21">
        <f t="shared" si="5"/>
        <v>5.140001742</v>
      </c>
      <c r="Q12" s="11">
        <f t="shared" si="6"/>
        <v>41.12001393</v>
      </c>
      <c r="R12" s="18">
        <f t="shared" si="7"/>
        <v>44.54668176</v>
      </c>
      <c r="S12" s="9">
        <f t="shared" si="8"/>
        <v>25.70000871</v>
      </c>
      <c r="U12" s="24"/>
      <c r="V12" s="18">
        <v>20.0</v>
      </c>
      <c r="W12" s="25"/>
      <c r="X12" s="22"/>
      <c r="Y12" s="22"/>
      <c r="Z12" s="22">
        <f t="shared" si="9"/>
        <v>0</v>
      </c>
      <c r="AA12" s="23"/>
    </row>
    <row r="13" ht="30.75" customHeight="1">
      <c r="A13" s="10" t="s">
        <v>24</v>
      </c>
      <c r="B13" s="11" t="s">
        <v>64</v>
      </c>
      <c r="C13" s="11" t="s">
        <v>65</v>
      </c>
      <c r="D13" s="12" t="s">
        <v>27</v>
      </c>
      <c r="E13" s="12" t="s">
        <v>66</v>
      </c>
      <c r="F13" s="13"/>
      <c r="G13" s="14" t="s">
        <v>67</v>
      </c>
      <c r="H13" s="11">
        <v>245.0</v>
      </c>
      <c r="I13" s="15">
        <v>10.0</v>
      </c>
      <c r="J13" s="16">
        <v>8.0</v>
      </c>
      <c r="K13" s="17">
        <v>2450.0</v>
      </c>
      <c r="L13" s="11">
        <f t="shared" si="1"/>
        <v>39.04807525</v>
      </c>
      <c r="M13" s="18">
        <f t="shared" si="2"/>
        <v>312.384602</v>
      </c>
      <c r="N13" s="19">
        <f t="shared" ref="N13:N18" si="11">L13+(L13*0.1)</f>
        <v>42.95288277</v>
      </c>
      <c r="O13" s="20">
        <f t="shared" si="4"/>
        <v>3.904807525</v>
      </c>
      <c r="P13" s="21">
        <f t="shared" si="5"/>
        <v>3.904807525</v>
      </c>
      <c r="Q13" s="11">
        <f t="shared" si="6"/>
        <v>46.8576903</v>
      </c>
      <c r="R13" s="18">
        <f t="shared" si="7"/>
        <v>50.76249782</v>
      </c>
      <c r="S13" s="9">
        <f t="shared" si="8"/>
        <v>7.80961505</v>
      </c>
      <c r="U13" s="24"/>
      <c r="V13" s="18">
        <v>10.0</v>
      </c>
      <c r="W13" s="25"/>
      <c r="X13" s="22"/>
      <c r="Y13" s="22"/>
      <c r="Z13" s="22">
        <f t="shared" si="9"/>
        <v>0</v>
      </c>
      <c r="AA13" s="23"/>
    </row>
    <row r="14" ht="30.75" customHeight="1">
      <c r="A14" s="10" t="s">
        <v>24</v>
      </c>
      <c r="B14" s="12" t="s">
        <v>68</v>
      </c>
      <c r="C14" s="11" t="s">
        <v>69</v>
      </c>
      <c r="D14" s="12" t="s">
        <v>27</v>
      </c>
      <c r="E14" s="11" t="s">
        <v>69</v>
      </c>
      <c r="F14" s="13"/>
      <c r="G14" s="14" t="s">
        <v>70</v>
      </c>
      <c r="H14" s="12">
        <v>215.0</v>
      </c>
      <c r="I14" s="15">
        <v>10.0</v>
      </c>
      <c r="J14" s="16">
        <v>10.0</v>
      </c>
      <c r="K14" s="27">
        <v>2150.0</v>
      </c>
      <c r="L14" s="11">
        <f t="shared" si="1"/>
        <v>34.26667828</v>
      </c>
      <c r="M14" s="18">
        <f t="shared" si="2"/>
        <v>342.6667828</v>
      </c>
      <c r="N14" s="19">
        <f t="shared" si="11"/>
        <v>37.69334611</v>
      </c>
      <c r="O14" s="20">
        <f t="shared" si="4"/>
        <v>3.426667828</v>
      </c>
      <c r="P14" s="21">
        <f t="shared" si="5"/>
        <v>3.426667828</v>
      </c>
      <c r="Q14" s="11">
        <f t="shared" si="6"/>
        <v>41.12001393</v>
      </c>
      <c r="R14" s="18">
        <f t="shared" si="7"/>
        <v>44.54668176</v>
      </c>
      <c r="S14" s="9">
        <f t="shared" si="8"/>
        <v>0</v>
      </c>
      <c r="U14" s="24"/>
      <c r="V14" s="18">
        <v>10.0</v>
      </c>
      <c r="W14" s="25"/>
      <c r="X14" s="22">
        <v>10.0</v>
      </c>
      <c r="Y14" s="26">
        <v>217.5</v>
      </c>
      <c r="Z14" s="22">
        <f t="shared" si="9"/>
        <v>2175</v>
      </c>
      <c r="AA14" s="23"/>
    </row>
    <row r="15" ht="30.75" customHeight="1">
      <c r="A15" s="10" t="s">
        <v>71</v>
      </c>
      <c r="B15" s="11" t="s">
        <v>72</v>
      </c>
      <c r="C15" s="11" t="s">
        <v>73</v>
      </c>
      <c r="D15" s="12"/>
      <c r="E15" s="12" t="s">
        <v>73</v>
      </c>
      <c r="F15" s="13"/>
      <c r="G15" s="14" t="s">
        <v>74</v>
      </c>
      <c r="H15" s="11">
        <v>27.0</v>
      </c>
      <c r="I15" s="15">
        <v>5.0</v>
      </c>
      <c r="J15" s="16">
        <v>5.0</v>
      </c>
      <c r="K15" s="17">
        <v>135.0</v>
      </c>
      <c r="L15" s="11">
        <f t="shared" si="1"/>
        <v>4.303257272</v>
      </c>
      <c r="M15" s="18">
        <f t="shared" si="2"/>
        <v>21.51628636</v>
      </c>
      <c r="N15" s="19">
        <f t="shared" si="11"/>
        <v>4.733582999</v>
      </c>
      <c r="O15" s="20">
        <f t="shared" si="4"/>
        <v>0.4303257272</v>
      </c>
      <c r="P15" s="21">
        <f t="shared" si="5"/>
        <v>0.4303257272</v>
      </c>
      <c r="Q15" s="11">
        <f t="shared" si="6"/>
        <v>5.163908727</v>
      </c>
      <c r="R15" s="18">
        <f t="shared" si="7"/>
        <v>5.594234454</v>
      </c>
      <c r="S15" s="9">
        <f t="shared" si="8"/>
        <v>0</v>
      </c>
      <c r="U15" s="24"/>
      <c r="V15" s="18">
        <v>5.0</v>
      </c>
      <c r="W15" s="25"/>
      <c r="X15" s="22"/>
      <c r="Y15" s="22"/>
      <c r="Z15" s="22">
        <f t="shared" si="9"/>
        <v>0</v>
      </c>
      <c r="AA15" s="23"/>
    </row>
    <row r="16" ht="30.75" customHeight="1">
      <c r="A16" s="10" t="s">
        <v>71</v>
      </c>
      <c r="B16" s="11" t="s">
        <v>75</v>
      </c>
      <c r="C16" s="11" t="s">
        <v>76</v>
      </c>
      <c r="D16" s="12" t="s">
        <v>27</v>
      </c>
      <c r="E16" s="12" t="s">
        <v>76</v>
      </c>
      <c r="F16" s="13"/>
      <c r="G16" s="14" t="s">
        <v>77</v>
      </c>
      <c r="H16" s="11">
        <v>55.0</v>
      </c>
      <c r="I16" s="15">
        <v>5.0</v>
      </c>
      <c r="J16" s="16">
        <v>3.0</v>
      </c>
      <c r="K16" s="17">
        <v>275.0</v>
      </c>
      <c r="L16" s="11">
        <f t="shared" si="1"/>
        <v>8.765894443</v>
      </c>
      <c r="M16" s="18">
        <f t="shared" si="2"/>
        <v>26.29768333</v>
      </c>
      <c r="N16" s="19">
        <f t="shared" si="11"/>
        <v>9.642483888</v>
      </c>
      <c r="O16" s="20">
        <f t="shared" si="4"/>
        <v>0.8765894443</v>
      </c>
      <c r="P16" s="21">
        <f t="shared" si="5"/>
        <v>0.8765894443</v>
      </c>
      <c r="Q16" s="11">
        <f t="shared" si="6"/>
        <v>10.51907333</v>
      </c>
      <c r="R16" s="18">
        <f t="shared" si="7"/>
        <v>11.39566278</v>
      </c>
      <c r="S16" s="9">
        <f t="shared" si="8"/>
        <v>1.753178889</v>
      </c>
      <c r="U16" s="24"/>
      <c r="V16" s="18">
        <v>5.0</v>
      </c>
      <c r="W16" s="25"/>
      <c r="X16" s="22"/>
      <c r="Y16" s="22"/>
      <c r="Z16" s="22">
        <f t="shared" si="9"/>
        <v>0</v>
      </c>
      <c r="AA16" s="23"/>
    </row>
    <row r="17" ht="30.75" customHeight="1">
      <c r="A17" s="10" t="s">
        <v>71</v>
      </c>
      <c r="B17" s="12" t="s">
        <v>78</v>
      </c>
      <c r="C17" s="11" t="s">
        <v>79</v>
      </c>
      <c r="D17" s="12" t="s">
        <v>27</v>
      </c>
      <c r="E17" s="12" t="s">
        <v>80</v>
      </c>
      <c r="F17" s="13"/>
      <c r="G17" s="14" t="s">
        <v>81</v>
      </c>
      <c r="H17" s="11">
        <v>45.0</v>
      </c>
      <c r="I17" s="15">
        <v>5.0</v>
      </c>
      <c r="J17" s="16">
        <v>5.0</v>
      </c>
      <c r="K17" s="17">
        <v>225.0</v>
      </c>
      <c r="L17" s="11">
        <f t="shared" si="1"/>
        <v>7.172095454</v>
      </c>
      <c r="M17" s="18">
        <f t="shared" si="2"/>
        <v>35.86047727</v>
      </c>
      <c r="N17" s="19">
        <f t="shared" si="11"/>
        <v>7.889304999</v>
      </c>
      <c r="O17" s="20">
        <f t="shared" si="4"/>
        <v>0.7172095454</v>
      </c>
      <c r="P17" s="21">
        <f t="shared" si="5"/>
        <v>0.7172095454</v>
      </c>
      <c r="Q17" s="11">
        <f t="shared" si="6"/>
        <v>8.606514545</v>
      </c>
      <c r="R17" s="18">
        <f t="shared" si="7"/>
        <v>9.32372409</v>
      </c>
      <c r="S17" s="9">
        <f t="shared" si="8"/>
        <v>0</v>
      </c>
      <c r="U17" s="24"/>
      <c r="V17" s="18">
        <v>5.0</v>
      </c>
      <c r="W17" s="25"/>
      <c r="X17" s="22"/>
      <c r="Y17" s="22"/>
      <c r="Z17" s="22">
        <f t="shared" si="9"/>
        <v>0</v>
      </c>
      <c r="AA17" s="23"/>
    </row>
    <row r="18" ht="30.75" customHeight="1">
      <c r="A18" s="10" t="s">
        <v>71</v>
      </c>
      <c r="B18" s="11" t="s">
        <v>82</v>
      </c>
      <c r="C18" s="11" t="s">
        <v>83</v>
      </c>
      <c r="D18" s="12" t="s">
        <v>27</v>
      </c>
      <c r="E18" s="12" t="s">
        <v>83</v>
      </c>
      <c r="F18" s="13"/>
      <c r="G18" s="14" t="s">
        <v>84</v>
      </c>
      <c r="H18" s="11">
        <v>45.0</v>
      </c>
      <c r="I18" s="15">
        <v>5.0</v>
      </c>
      <c r="J18" s="16">
        <v>5.0</v>
      </c>
      <c r="K18" s="17">
        <v>225.0</v>
      </c>
      <c r="L18" s="11">
        <f t="shared" si="1"/>
        <v>7.172095454</v>
      </c>
      <c r="M18" s="18">
        <f t="shared" si="2"/>
        <v>35.86047727</v>
      </c>
      <c r="N18" s="19">
        <f t="shared" si="11"/>
        <v>7.889304999</v>
      </c>
      <c r="O18" s="20">
        <f t="shared" si="4"/>
        <v>0.7172095454</v>
      </c>
      <c r="P18" s="21">
        <f t="shared" si="5"/>
        <v>0.7172095454</v>
      </c>
      <c r="Q18" s="11">
        <f t="shared" si="6"/>
        <v>8.606514545</v>
      </c>
      <c r="R18" s="18">
        <f t="shared" si="7"/>
        <v>9.32372409</v>
      </c>
      <c r="S18" s="9">
        <f t="shared" si="8"/>
        <v>0</v>
      </c>
      <c r="U18" s="24"/>
      <c r="V18" s="18">
        <v>5.0</v>
      </c>
      <c r="W18" s="25"/>
      <c r="X18" s="22"/>
      <c r="Y18" s="22"/>
      <c r="Z18" s="22">
        <f t="shared" si="9"/>
        <v>0</v>
      </c>
      <c r="AA18" s="23"/>
    </row>
    <row r="19" ht="30.75" customHeight="1">
      <c r="A19" s="10" t="s">
        <v>71</v>
      </c>
      <c r="B19" s="11" t="s">
        <v>85</v>
      </c>
      <c r="C19" s="11" t="s">
        <v>86</v>
      </c>
      <c r="D19" s="12" t="s">
        <v>27</v>
      </c>
      <c r="E19" s="12" t="s">
        <v>86</v>
      </c>
      <c r="F19" s="13"/>
      <c r="G19" s="14" t="s">
        <v>87</v>
      </c>
      <c r="H19" s="11"/>
      <c r="I19" s="15">
        <v>1.0</v>
      </c>
      <c r="J19" s="28">
        <v>1.0</v>
      </c>
      <c r="K19" s="17"/>
      <c r="L19" s="11">
        <v>0.0</v>
      </c>
      <c r="M19" s="18"/>
      <c r="N19" s="19"/>
      <c r="O19" s="20"/>
      <c r="P19" s="21"/>
      <c r="Q19" s="11"/>
      <c r="R19" s="18"/>
      <c r="S19" s="9"/>
      <c r="T19" s="29" t="s">
        <v>88</v>
      </c>
      <c r="U19" s="24"/>
      <c r="V19" s="18">
        <v>1.0</v>
      </c>
      <c r="W19" s="25"/>
      <c r="X19" s="22"/>
      <c r="Y19" s="22"/>
      <c r="Z19" s="22">
        <f t="shared" si="9"/>
        <v>0</v>
      </c>
      <c r="AA19" s="23"/>
    </row>
    <row r="20" ht="15.75" customHeight="1">
      <c r="A20" s="30"/>
      <c r="I20" s="31">
        <v>210.0</v>
      </c>
      <c r="J20" s="32"/>
      <c r="K20" s="33">
        <v>57410.0</v>
      </c>
      <c r="L20" s="8"/>
      <c r="M20" s="34">
        <f>SUM(M2:M18)</f>
        <v>4160.612263</v>
      </c>
      <c r="N20" s="35"/>
      <c r="R20" s="18"/>
      <c r="S20" s="9">
        <f>SUM(S2:S18)</f>
        <v>567.1135255</v>
      </c>
      <c r="T20" s="8"/>
      <c r="U20" s="8"/>
      <c r="V20" s="8"/>
      <c r="W20" s="36"/>
      <c r="X20" s="36"/>
      <c r="Y20" s="36"/>
      <c r="Z20" s="37">
        <f>SUM(Z2:Z19)</f>
        <v>16425</v>
      </c>
      <c r="AA20" s="38">
        <f>Z20/W2</f>
        <v>2554.639175</v>
      </c>
      <c r="AB20" s="8"/>
      <c r="AC20" s="8"/>
      <c r="AD20" s="8"/>
      <c r="AE20" s="8"/>
      <c r="AF20" s="8"/>
    </row>
    <row r="21" ht="12.75" customHeight="1">
      <c r="A21" s="39"/>
      <c r="B21" s="39"/>
      <c r="C21" s="39"/>
      <c r="D21" s="39"/>
      <c r="E21" s="39"/>
      <c r="F21" s="39"/>
      <c r="H21" s="40"/>
      <c r="I21" s="40"/>
      <c r="J21" s="41"/>
      <c r="K21" s="40"/>
      <c r="N21" s="42"/>
      <c r="V21" s="40"/>
    </row>
    <row r="22" ht="12.75" customHeight="1">
      <c r="H22" s="40"/>
      <c r="I22" s="40"/>
      <c r="J22" s="41"/>
      <c r="K22" s="40"/>
      <c r="N22" s="42"/>
      <c r="V22" s="40"/>
    </row>
    <row r="23" ht="12.75" customHeight="1">
      <c r="A23" s="39"/>
      <c r="B23" s="39"/>
      <c r="C23" s="39"/>
      <c r="D23" s="39"/>
      <c r="E23" s="39"/>
      <c r="H23" s="40"/>
      <c r="I23" s="40"/>
      <c r="J23" s="41"/>
      <c r="K23" s="40"/>
      <c r="N23" s="42"/>
      <c r="V23" s="40"/>
    </row>
    <row r="24" ht="12.75" customHeight="1">
      <c r="H24" s="40"/>
      <c r="I24" s="40"/>
      <c r="J24" s="41"/>
      <c r="K24" s="40"/>
      <c r="N24" s="42"/>
      <c r="V24" s="40"/>
    </row>
    <row r="25" ht="12.75" customHeight="1">
      <c r="A25" s="39"/>
      <c r="B25" s="39"/>
      <c r="C25" s="39"/>
      <c r="D25" s="39"/>
      <c r="E25" s="39"/>
      <c r="H25" s="40"/>
      <c r="I25" s="40"/>
      <c r="J25" s="41"/>
      <c r="K25" s="40"/>
      <c r="N25" s="42"/>
      <c r="V25" s="40"/>
    </row>
    <row r="26" ht="12.75" customHeight="1">
      <c r="H26" s="40"/>
      <c r="I26" s="40"/>
      <c r="J26" s="41"/>
      <c r="K26" s="40"/>
      <c r="N26" s="42"/>
      <c r="V26" s="40"/>
    </row>
    <row r="27" ht="12.75" customHeight="1">
      <c r="A27" s="39"/>
      <c r="B27" s="39"/>
      <c r="C27" s="39"/>
      <c r="D27" s="39"/>
      <c r="E27" s="39"/>
      <c r="F27" s="39"/>
      <c r="H27" s="40"/>
      <c r="I27" s="40"/>
      <c r="J27" s="41"/>
      <c r="K27" s="40"/>
      <c r="N27" s="42"/>
      <c r="V27" s="40"/>
    </row>
    <row r="28" ht="12.75" customHeight="1">
      <c r="H28" s="40"/>
      <c r="I28" s="40"/>
      <c r="J28" s="41"/>
      <c r="K28" s="40"/>
      <c r="N28" s="42"/>
      <c r="V28" s="40"/>
    </row>
    <row r="29" ht="12.75" customHeight="1">
      <c r="H29" s="40"/>
      <c r="I29" s="40"/>
      <c r="J29" s="41"/>
      <c r="K29" s="40"/>
      <c r="N29" s="42"/>
      <c r="V29" s="40"/>
    </row>
    <row r="30" ht="12.75" customHeight="1">
      <c r="H30" s="40"/>
      <c r="I30" s="40"/>
      <c r="J30" s="41"/>
      <c r="K30" s="40"/>
      <c r="N30" s="42"/>
      <c r="V30" s="40"/>
    </row>
    <row r="31" ht="12.75" customHeight="1">
      <c r="H31" s="40"/>
      <c r="I31" s="40"/>
      <c r="J31" s="41"/>
      <c r="K31" s="40"/>
      <c r="N31" s="42"/>
      <c r="V31" s="40"/>
    </row>
    <row r="32" ht="12.75" customHeight="1">
      <c r="H32" s="40"/>
      <c r="I32" s="40"/>
      <c r="J32" s="41"/>
      <c r="K32" s="40"/>
      <c r="N32" s="42"/>
      <c r="V32" s="40"/>
    </row>
    <row r="33" ht="12.75" customHeight="1">
      <c r="H33" s="40"/>
      <c r="I33" s="40"/>
      <c r="J33" s="41"/>
      <c r="K33" s="40"/>
      <c r="N33" s="42"/>
      <c r="V33" s="40"/>
    </row>
    <row r="34" ht="12.75" customHeight="1">
      <c r="H34" s="40"/>
      <c r="I34" s="40"/>
      <c r="J34" s="41"/>
      <c r="K34" s="40"/>
      <c r="N34" s="42"/>
      <c r="V34" s="40"/>
    </row>
    <row r="35" ht="12.75" customHeight="1">
      <c r="H35" s="40"/>
      <c r="I35" s="40"/>
      <c r="J35" s="41"/>
      <c r="K35" s="40"/>
      <c r="N35" s="42"/>
      <c r="V35" s="40"/>
    </row>
    <row r="36" ht="12.75" customHeight="1">
      <c r="H36" s="40"/>
      <c r="I36" s="40"/>
      <c r="J36" s="41"/>
      <c r="K36" s="40"/>
      <c r="N36" s="42"/>
      <c r="V36" s="40"/>
    </row>
    <row r="37" ht="12.75" customHeight="1">
      <c r="H37" s="40"/>
      <c r="I37" s="40"/>
      <c r="J37" s="41"/>
      <c r="K37" s="40"/>
      <c r="N37" s="42"/>
      <c r="V37" s="40"/>
    </row>
    <row r="38" ht="12.75" customHeight="1">
      <c r="H38" s="40"/>
      <c r="I38" s="40"/>
      <c r="J38" s="41"/>
      <c r="K38" s="40"/>
      <c r="N38" s="42"/>
      <c r="V38" s="40"/>
    </row>
    <row r="39" ht="12.75" customHeight="1">
      <c r="H39" s="40"/>
      <c r="I39" s="40"/>
      <c r="J39" s="41"/>
      <c r="K39" s="40"/>
      <c r="N39" s="42"/>
      <c r="V39" s="40"/>
    </row>
    <row r="40" ht="12.75" customHeight="1">
      <c r="H40" s="40"/>
      <c r="I40" s="40"/>
      <c r="J40" s="41"/>
      <c r="K40" s="40"/>
      <c r="N40" s="42"/>
      <c r="V40" s="40"/>
    </row>
    <row r="41" ht="12.75" customHeight="1">
      <c r="H41" s="40"/>
      <c r="I41" s="40"/>
      <c r="J41" s="41"/>
      <c r="K41" s="40"/>
      <c r="N41" s="42"/>
      <c r="V41" s="40"/>
    </row>
    <row r="42" ht="12.75" customHeight="1">
      <c r="H42" s="40"/>
      <c r="I42" s="40"/>
      <c r="J42" s="41"/>
      <c r="K42" s="40"/>
      <c r="N42" s="42"/>
      <c r="V42" s="40"/>
    </row>
    <row r="43" ht="12.75" customHeight="1">
      <c r="H43" s="40"/>
      <c r="I43" s="40"/>
      <c r="J43" s="41"/>
      <c r="K43" s="40"/>
      <c r="N43" s="42"/>
      <c r="V43" s="40"/>
    </row>
    <row r="44" ht="12.75" customHeight="1">
      <c r="H44" s="40"/>
      <c r="I44" s="40"/>
      <c r="J44" s="41"/>
      <c r="K44" s="40"/>
      <c r="N44" s="42"/>
      <c r="V44" s="40"/>
    </row>
    <row r="45" ht="12.75" customHeight="1">
      <c r="H45" s="40"/>
      <c r="I45" s="40"/>
      <c r="J45" s="41"/>
      <c r="K45" s="40"/>
      <c r="N45" s="42"/>
      <c r="V45" s="40"/>
    </row>
    <row r="46" ht="12.75" customHeight="1">
      <c r="H46" s="40"/>
      <c r="I46" s="40"/>
      <c r="J46" s="41"/>
      <c r="K46" s="40"/>
      <c r="N46" s="42"/>
      <c r="V46" s="40"/>
    </row>
    <row r="47" ht="12.75" customHeight="1">
      <c r="H47" s="40"/>
      <c r="I47" s="40"/>
      <c r="J47" s="41"/>
      <c r="K47" s="40"/>
      <c r="N47" s="42"/>
      <c r="V47" s="40"/>
    </row>
    <row r="48" ht="12.75" customHeight="1">
      <c r="H48" s="40"/>
      <c r="I48" s="40"/>
      <c r="J48" s="41"/>
      <c r="K48" s="40"/>
      <c r="N48" s="42"/>
      <c r="V48" s="40"/>
    </row>
    <row r="49" ht="12.75" customHeight="1">
      <c r="H49" s="40"/>
      <c r="I49" s="40"/>
      <c r="J49" s="41"/>
      <c r="K49" s="40"/>
      <c r="N49" s="42"/>
      <c r="V49" s="40"/>
    </row>
    <row r="50" ht="12.75" customHeight="1">
      <c r="H50" s="40"/>
      <c r="I50" s="40"/>
      <c r="J50" s="41"/>
      <c r="K50" s="40"/>
      <c r="N50" s="42"/>
      <c r="V50" s="40"/>
    </row>
    <row r="51" ht="12.75" customHeight="1">
      <c r="H51" s="40"/>
      <c r="I51" s="40"/>
      <c r="J51" s="41"/>
      <c r="K51" s="40"/>
      <c r="N51" s="42"/>
      <c r="V51" s="40"/>
    </row>
    <row r="52" ht="12.75" customHeight="1">
      <c r="H52" s="40"/>
      <c r="I52" s="40"/>
      <c r="J52" s="41"/>
      <c r="K52" s="40"/>
      <c r="N52" s="42"/>
      <c r="V52" s="40"/>
    </row>
    <row r="53" ht="12.75" customHeight="1">
      <c r="H53" s="40"/>
      <c r="I53" s="40"/>
      <c r="J53" s="41"/>
      <c r="K53" s="40"/>
      <c r="N53" s="42"/>
      <c r="V53" s="40"/>
    </row>
    <row r="54" ht="12.75" customHeight="1">
      <c r="H54" s="40"/>
      <c r="I54" s="40"/>
      <c r="J54" s="41"/>
      <c r="K54" s="40"/>
      <c r="N54" s="42"/>
      <c r="V54" s="40"/>
    </row>
    <row r="55" ht="12.75" customHeight="1">
      <c r="H55" s="40"/>
      <c r="I55" s="40"/>
      <c r="J55" s="41"/>
      <c r="K55" s="40"/>
      <c r="N55" s="42"/>
      <c r="V55" s="40"/>
    </row>
    <row r="56" ht="12.75" customHeight="1">
      <c r="H56" s="40"/>
      <c r="I56" s="40"/>
      <c r="J56" s="41"/>
      <c r="K56" s="40"/>
      <c r="N56" s="42"/>
      <c r="V56" s="40"/>
    </row>
    <row r="57" ht="12.75" customHeight="1">
      <c r="H57" s="40"/>
      <c r="I57" s="40"/>
      <c r="J57" s="41"/>
      <c r="K57" s="40"/>
      <c r="N57" s="42"/>
      <c r="V57" s="40"/>
    </row>
    <row r="58" ht="12.75" customHeight="1">
      <c r="H58" s="40"/>
      <c r="I58" s="40"/>
      <c r="J58" s="41"/>
      <c r="K58" s="40"/>
      <c r="N58" s="42"/>
      <c r="V58" s="40"/>
    </row>
    <row r="59" ht="12.75" customHeight="1">
      <c r="H59" s="40"/>
      <c r="I59" s="40"/>
      <c r="J59" s="41"/>
      <c r="K59" s="40"/>
      <c r="N59" s="42"/>
      <c r="V59" s="40"/>
    </row>
    <row r="60" ht="12.75" customHeight="1">
      <c r="H60" s="40"/>
      <c r="I60" s="40"/>
      <c r="J60" s="41"/>
      <c r="K60" s="40"/>
      <c r="N60" s="42"/>
      <c r="V60" s="40"/>
    </row>
    <row r="61" ht="12.75" customHeight="1">
      <c r="H61" s="40"/>
      <c r="I61" s="40"/>
      <c r="J61" s="41"/>
      <c r="K61" s="40"/>
      <c r="N61" s="42"/>
      <c r="V61" s="40"/>
    </row>
    <row r="62" ht="12.75" customHeight="1">
      <c r="H62" s="40"/>
      <c r="I62" s="40"/>
      <c r="J62" s="41"/>
      <c r="K62" s="40"/>
      <c r="N62" s="42"/>
      <c r="V62" s="40"/>
    </row>
    <row r="63" ht="12.75" customHeight="1">
      <c r="H63" s="40"/>
      <c r="I63" s="40"/>
      <c r="J63" s="41"/>
      <c r="K63" s="40"/>
      <c r="N63" s="42"/>
      <c r="V63" s="40"/>
    </row>
    <row r="64" ht="12.75" customHeight="1">
      <c r="H64" s="40"/>
      <c r="I64" s="40"/>
      <c r="J64" s="41"/>
      <c r="K64" s="40"/>
      <c r="N64" s="42"/>
      <c r="V64" s="40"/>
    </row>
    <row r="65" ht="12.75" customHeight="1">
      <c r="H65" s="40"/>
      <c r="I65" s="40"/>
      <c r="J65" s="41"/>
      <c r="K65" s="40"/>
      <c r="N65" s="42"/>
      <c r="V65" s="40"/>
    </row>
    <row r="66" ht="12.75" customHeight="1">
      <c r="H66" s="40"/>
      <c r="I66" s="40"/>
      <c r="J66" s="41"/>
      <c r="K66" s="40"/>
      <c r="N66" s="42"/>
      <c r="V66" s="40"/>
    </row>
    <row r="67" ht="12.75" customHeight="1">
      <c r="H67" s="40"/>
      <c r="I67" s="40"/>
      <c r="J67" s="41"/>
      <c r="K67" s="40"/>
      <c r="N67" s="42"/>
      <c r="V67" s="40"/>
    </row>
    <row r="68" ht="12.75" customHeight="1">
      <c r="H68" s="40"/>
      <c r="I68" s="40"/>
      <c r="J68" s="41"/>
      <c r="K68" s="40"/>
      <c r="N68" s="42"/>
      <c r="V68" s="40"/>
    </row>
    <row r="69" ht="12.75" customHeight="1">
      <c r="H69" s="40"/>
      <c r="I69" s="40"/>
      <c r="J69" s="41"/>
      <c r="K69" s="40"/>
      <c r="N69" s="42"/>
      <c r="V69" s="40"/>
    </row>
    <row r="70" ht="12.75" customHeight="1">
      <c r="H70" s="40"/>
      <c r="I70" s="40"/>
      <c r="J70" s="41"/>
      <c r="K70" s="40"/>
      <c r="N70" s="42"/>
      <c r="V70" s="40"/>
    </row>
    <row r="71" ht="12.75" customHeight="1">
      <c r="H71" s="40"/>
      <c r="I71" s="40"/>
      <c r="J71" s="41"/>
      <c r="K71" s="40"/>
      <c r="N71" s="42"/>
      <c r="V71" s="40"/>
    </row>
    <row r="72" ht="12.75" customHeight="1">
      <c r="H72" s="40"/>
      <c r="I72" s="40"/>
      <c r="J72" s="41"/>
      <c r="K72" s="40"/>
      <c r="N72" s="42"/>
      <c r="V72" s="40"/>
    </row>
    <row r="73" ht="12.75" customHeight="1">
      <c r="H73" s="40"/>
      <c r="I73" s="40"/>
      <c r="J73" s="41"/>
      <c r="K73" s="40"/>
      <c r="N73" s="42"/>
      <c r="V73" s="40"/>
    </row>
    <row r="74" ht="12.75" customHeight="1">
      <c r="H74" s="40"/>
      <c r="I74" s="40"/>
      <c r="J74" s="41"/>
      <c r="K74" s="40"/>
      <c r="N74" s="42"/>
      <c r="V74" s="40"/>
    </row>
    <row r="75" ht="12.75" customHeight="1">
      <c r="H75" s="40"/>
      <c r="I75" s="40"/>
      <c r="J75" s="41"/>
      <c r="K75" s="40"/>
      <c r="N75" s="42"/>
      <c r="V75" s="40"/>
    </row>
    <row r="76" ht="12.75" customHeight="1">
      <c r="H76" s="40"/>
      <c r="I76" s="40"/>
      <c r="J76" s="41"/>
      <c r="K76" s="40"/>
      <c r="N76" s="42"/>
      <c r="V76" s="40"/>
    </row>
    <row r="77" ht="12.75" customHeight="1">
      <c r="H77" s="40"/>
      <c r="I77" s="40"/>
      <c r="J77" s="41"/>
      <c r="K77" s="40"/>
      <c r="N77" s="42"/>
      <c r="V77" s="40"/>
    </row>
    <row r="78" ht="12.75" customHeight="1">
      <c r="H78" s="40"/>
      <c r="I78" s="40"/>
      <c r="J78" s="41"/>
      <c r="K78" s="40"/>
      <c r="N78" s="42"/>
      <c r="V78" s="40"/>
    </row>
    <row r="79" ht="12.75" customHeight="1">
      <c r="H79" s="40"/>
      <c r="I79" s="40"/>
      <c r="J79" s="41"/>
      <c r="K79" s="40"/>
      <c r="N79" s="42"/>
      <c r="V79" s="40"/>
    </row>
    <row r="80" ht="12.75" customHeight="1">
      <c r="H80" s="40"/>
      <c r="I80" s="40"/>
      <c r="J80" s="41"/>
      <c r="K80" s="40"/>
      <c r="N80" s="42"/>
      <c r="V80" s="40"/>
    </row>
    <row r="81" ht="12.75" customHeight="1">
      <c r="H81" s="40"/>
      <c r="I81" s="40"/>
      <c r="J81" s="41"/>
      <c r="K81" s="40"/>
      <c r="N81" s="42"/>
      <c r="V81" s="40"/>
    </row>
    <row r="82" ht="12.75" customHeight="1">
      <c r="H82" s="40"/>
      <c r="I82" s="40"/>
      <c r="J82" s="41"/>
      <c r="K82" s="40"/>
      <c r="N82" s="42"/>
      <c r="V82" s="40"/>
    </row>
    <row r="83" ht="12.75" customHeight="1">
      <c r="H83" s="40"/>
      <c r="I83" s="40"/>
      <c r="J83" s="41"/>
      <c r="K83" s="40"/>
      <c r="N83" s="42"/>
      <c r="V83" s="40"/>
    </row>
    <row r="84" ht="12.75" customHeight="1">
      <c r="H84" s="40"/>
      <c r="I84" s="40"/>
      <c r="J84" s="41"/>
      <c r="K84" s="40"/>
      <c r="N84" s="42"/>
      <c r="V84" s="40"/>
    </row>
    <row r="85" ht="12.75" customHeight="1">
      <c r="H85" s="40"/>
      <c r="I85" s="40"/>
      <c r="J85" s="41"/>
      <c r="K85" s="40"/>
      <c r="N85" s="42"/>
      <c r="V85" s="40"/>
    </row>
    <row r="86" ht="12.75" customHeight="1">
      <c r="H86" s="40"/>
      <c r="I86" s="40"/>
      <c r="J86" s="41"/>
      <c r="K86" s="40"/>
      <c r="N86" s="42"/>
      <c r="V86" s="40"/>
    </row>
    <row r="87" ht="12.75" customHeight="1">
      <c r="H87" s="40"/>
      <c r="I87" s="40"/>
      <c r="J87" s="41"/>
      <c r="K87" s="40"/>
      <c r="N87" s="42"/>
      <c r="V87" s="40"/>
    </row>
    <row r="88" ht="12.75" customHeight="1">
      <c r="H88" s="40"/>
      <c r="I88" s="40"/>
      <c r="J88" s="41"/>
      <c r="K88" s="40"/>
      <c r="N88" s="42"/>
      <c r="V88" s="40"/>
    </row>
    <row r="89" ht="12.75" customHeight="1">
      <c r="H89" s="40"/>
      <c r="I89" s="40"/>
      <c r="J89" s="41"/>
      <c r="K89" s="40"/>
      <c r="N89" s="42"/>
      <c r="V89" s="40"/>
    </row>
    <row r="90" ht="12.75" customHeight="1">
      <c r="H90" s="40"/>
      <c r="I90" s="40"/>
      <c r="J90" s="41"/>
      <c r="K90" s="40"/>
      <c r="N90" s="42"/>
      <c r="V90" s="40"/>
    </row>
    <row r="91" ht="12.75" customHeight="1">
      <c r="H91" s="40"/>
      <c r="I91" s="40"/>
      <c r="J91" s="41"/>
      <c r="K91" s="40"/>
      <c r="N91" s="42"/>
      <c r="V91" s="40"/>
    </row>
    <row r="92" ht="12.75" customHeight="1">
      <c r="H92" s="40"/>
      <c r="I92" s="40"/>
      <c r="J92" s="41"/>
      <c r="K92" s="40"/>
      <c r="N92" s="42"/>
      <c r="V92" s="40"/>
    </row>
    <row r="93" ht="12.75" customHeight="1">
      <c r="H93" s="40"/>
      <c r="I93" s="40"/>
      <c r="J93" s="41"/>
      <c r="K93" s="40"/>
      <c r="N93" s="42"/>
      <c r="V93" s="40"/>
    </row>
    <row r="94" ht="12.75" customHeight="1">
      <c r="H94" s="40"/>
      <c r="I94" s="40"/>
      <c r="J94" s="41"/>
      <c r="K94" s="40"/>
      <c r="N94" s="42"/>
      <c r="V94" s="40"/>
    </row>
    <row r="95" ht="12.75" customHeight="1">
      <c r="H95" s="40"/>
      <c r="I95" s="40"/>
      <c r="J95" s="41"/>
      <c r="K95" s="40"/>
      <c r="N95" s="42"/>
      <c r="V95" s="40"/>
    </row>
    <row r="96" ht="12.75" customHeight="1">
      <c r="H96" s="40"/>
      <c r="I96" s="40"/>
      <c r="J96" s="41"/>
      <c r="K96" s="40"/>
      <c r="N96" s="42"/>
      <c r="V96" s="40"/>
    </row>
    <row r="97" ht="12.75" customHeight="1">
      <c r="H97" s="40"/>
      <c r="I97" s="40"/>
      <c r="J97" s="41"/>
      <c r="K97" s="40"/>
      <c r="N97" s="42"/>
      <c r="V97" s="40"/>
    </row>
    <row r="98" ht="12.75" customHeight="1">
      <c r="H98" s="40"/>
      <c r="I98" s="40"/>
      <c r="J98" s="41"/>
      <c r="K98" s="40"/>
      <c r="N98" s="42"/>
      <c r="V98" s="40"/>
    </row>
    <row r="99" ht="12.75" customHeight="1">
      <c r="H99" s="40"/>
      <c r="I99" s="40"/>
      <c r="J99" s="41"/>
      <c r="K99" s="40"/>
      <c r="N99" s="42"/>
      <c r="V99" s="40"/>
    </row>
    <row r="100" ht="12.75" customHeight="1">
      <c r="H100" s="40"/>
      <c r="I100" s="40"/>
      <c r="J100" s="41"/>
      <c r="K100" s="40"/>
      <c r="N100" s="42"/>
      <c r="V100" s="40"/>
    </row>
    <row r="101" ht="12.75" customHeight="1">
      <c r="H101" s="40"/>
      <c r="I101" s="40"/>
      <c r="J101" s="41"/>
      <c r="K101" s="40"/>
      <c r="N101" s="42"/>
      <c r="V101" s="40"/>
    </row>
    <row r="102" ht="12.75" customHeight="1">
      <c r="H102" s="40"/>
      <c r="I102" s="40"/>
      <c r="J102" s="41"/>
      <c r="K102" s="40"/>
      <c r="N102" s="42"/>
      <c r="V102" s="40"/>
    </row>
    <row r="103" ht="12.75" customHeight="1">
      <c r="H103" s="40"/>
      <c r="I103" s="40"/>
      <c r="J103" s="41"/>
      <c r="K103" s="40"/>
      <c r="N103" s="42"/>
      <c r="V103" s="40"/>
    </row>
    <row r="104" ht="12.75" customHeight="1">
      <c r="H104" s="40"/>
      <c r="I104" s="40"/>
      <c r="J104" s="41"/>
      <c r="K104" s="40"/>
      <c r="N104" s="42"/>
      <c r="V104" s="40"/>
    </row>
    <row r="105" ht="12.75" customHeight="1">
      <c r="H105" s="40"/>
      <c r="I105" s="40"/>
      <c r="J105" s="41"/>
      <c r="K105" s="40"/>
      <c r="N105" s="42"/>
      <c r="V105" s="40"/>
    </row>
    <row r="106" ht="12.75" customHeight="1">
      <c r="H106" s="40"/>
      <c r="I106" s="40"/>
      <c r="J106" s="41"/>
      <c r="K106" s="40"/>
      <c r="N106" s="42"/>
      <c r="V106" s="40"/>
    </row>
    <row r="107" ht="12.75" customHeight="1">
      <c r="H107" s="40"/>
      <c r="I107" s="40"/>
      <c r="J107" s="41"/>
      <c r="K107" s="40"/>
      <c r="N107" s="42"/>
      <c r="V107" s="40"/>
    </row>
    <row r="108" ht="12.75" customHeight="1">
      <c r="H108" s="40"/>
      <c r="I108" s="40"/>
      <c r="J108" s="41"/>
      <c r="K108" s="40"/>
      <c r="N108" s="42"/>
      <c r="V108" s="40"/>
    </row>
    <row r="109" ht="12.75" customHeight="1">
      <c r="H109" s="40"/>
      <c r="I109" s="40"/>
      <c r="J109" s="41"/>
      <c r="K109" s="40"/>
      <c r="N109" s="42"/>
      <c r="V109" s="40"/>
    </row>
    <row r="110" ht="12.75" customHeight="1">
      <c r="H110" s="40"/>
      <c r="I110" s="40"/>
      <c r="J110" s="41"/>
      <c r="K110" s="40"/>
      <c r="N110" s="42"/>
      <c r="V110" s="40"/>
    </row>
    <row r="111" ht="12.75" customHeight="1">
      <c r="H111" s="40"/>
      <c r="I111" s="40"/>
      <c r="J111" s="41"/>
      <c r="K111" s="40"/>
      <c r="N111" s="42"/>
      <c r="V111" s="40"/>
    </row>
    <row r="112" ht="12.75" customHeight="1">
      <c r="H112" s="40"/>
      <c r="I112" s="40"/>
      <c r="J112" s="41"/>
      <c r="K112" s="40"/>
      <c r="N112" s="42"/>
      <c r="V112" s="40"/>
    </row>
    <row r="113" ht="12.75" customHeight="1">
      <c r="H113" s="40"/>
      <c r="I113" s="40"/>
      <c r="J113" s="41"/>
      <c r="K113" s="40"/>
      <c r="N113" s="42"/>
      <c r="V113" s="40"/>
    </row>
    <row r="114" ht="12.75" customHeight="1">
      <c r="H114" s="40"/>
      <c r="I114" s="40"/>
      <c r="J114" s="41"/>
      <c r="K114" s="40"/>
      <c r="N114" s="42"/>
      <c r="V114" s="40"/>
    </row>
    <row r="115" ht="12.75" customHeight="1">
      <c r="H115" s="40"/>
      <c r="I115" s="40"/>
      <c r="J115" s="41"/>
      <c r="K115" s="40"/>
      <c r="N115" s="42"/>
      <c r="V115" s="40"/>
    </row>
    <row r="116" ht="12.75" customHeight="1">
      <c r="H116" s="40"/>
      <c r="I116" s="40"/>
      <c r="J116" s="41"/>
      <c r="K116" s="40"/>
      <c r="N116" s="42"/>
      <c r="V116" s="40"/>
    </row>
    <row r="117" ht="12.75" customHeight="1">
      <c r="H117" s="40"/>
      <c r="I117" s="40"/>
      <c r="J117" s="41"/>
      <c r="K117" s="40"/>
      <c r="N117" s="42"/>
      <c r="V117" s="40"/>
    </row>
    <row r="118" ht="12.75" customHeight="1">
      <c r="H118" s="40"/>
      <c r="I118" s="40"/>
      <c r="J118" s="41"/>
      <c r="K118" s="40"/>
      <c r="N118" s="42"/>
      <c r="V118" s="40"/>
    </row>
    <row r="119" ht="12.75" customHeight="1">
      <c r="H119" s="40"/>
      <c r="I119" s="40"/>
      <c r="J119" s="41"/>
      <c r="K119" s="40"/>
      <c r="N119" s="42"/>
      <c r="V119" s="40"/>
    </row>
    <row r="120" ht="12.75" customHeight="1">
      <c r="H120" s="40"/>
      <c r="I120" s="40"/>
      <c r="J120" s="41"/>
      <c r="K120" s="40"/>
      <c r="N120" s="42"/>
      <c r="V120" s="40"/>
    </row>
    <row r="121" ht="12.75" customHeight="1">
      <c r="H121" s="40"/>
      <c r="I121" s="40"/>
      <c r="J121" s="41"/>
      <c r="K121" s="40"/>
      <c r="N121" s="42"/>
      <c r="V121" s="40"/>
    </row>
    <row r="122" ht="12.75" customHeight="1">
      <c r="H122" s="40"/>
      <c r="I122" s="40"/>
      <c r="J122" s="41"/>
      <c r="K122" s="40"/>
      <c r="N122" s="42"/>
      <c r="V122" s="40"/>
    </row>
    <row r="123" ht="12.75" customHeight="1">
      <c r="H123" s="40"/>
      <c r="I123" s="40"/>
      <c r="J123" s="41"/>
      <c r="K123" s="40"/>
      <c r="N123" s="42"/>
      <c r="V123" s="40"/>
    </row>
    <row r="124" ht="12.75" customHeight="1">
      <c r="H124" s="40"/>
      <c r="I124" s="40"/>
      <c r="J124" s="41"/>
      <c r="K124" s="40"/>
      <c r="N124" s="42"/>
      <c r="V124" s="40"/>
    </row>
    <row r="125" ht="12.75" customHeight="1">
      <c r="H125" s="40"/>
      <c r="I125" s="40"/>
      <c r="J125" s="41"/>
      <c r="K125" s="40"/>
      <c r="N125" s="42"/>
      <c r="V125" s="40"/>
    </row>
    <row r="126" ht="12.75" customHeight="1">
      <c r="H126" s="40"/>
      <c r="I126" s="40"/>
      <c r="J126" s="41"/>
      <c r="K126" s="40"/>
      <c r="N126" s="42"/>
      <c r="V126" s="40"/>
    </row>
    <row r="127" ht="12.75" customHeight="1">
      <c r="H127" s="40"/>
      <c r="I127" s="40"/>
      <c r="J127" s="41"/>
      <c r="K127" s="40"/>
      <c r="N127" s="42"/>
      <c r="V127" s="40"/>
    </row>
    <row r="128" ht="12.75" customHeight="1">
      <c r="H128" s="40"/>
      <c r="I128" s="40"/>
      <c r="J128" s="41"/>
      <c r="K128" s="40"/>
      <c r="N128" s="42"/>
      <c r="V128" s="40"/>
    </row>
    <row r="129" ht="12.75" customHeight="1">
      <c r="H129" s="40"/>
      <c r="I129" s="40"/>
      <c r="J129" s="41"/>
      <c r="K129" s="40"/>
      <c r="N129" s="42"/>
      <c r="V129" s="40"/>
    </row>
    <row r="130" ht="12.75" customHeight="1">
      <c r="H130" s="40"/>
      <c r="I130" s="40"/>
      <c r="J130" s="41"/>
      <c r="K130" s="40"/>
      <c r="N130" s="42"/>
      <c r="V130" s="40"/>
    </row>
    <row r="131" ht="12.75" customHeight="1">
      <c r="H131" s="40"/>
      <c r="I131" s="40"/>
      <c r="J131" s="41"/>
      <c r="K131" s="40"/>
      <c r="N131" s="42"/>
      <c r="V131" s="40"/>
    </row>
    <row r="132" ht="12.75" customHeight="1">
      <c r="H132" s="40"/>
      <c r="I132" s="40"/>
      <c r="J132" s="41"/>
      <c r="K132" s="40"/>
      <c r="N132" s="42"/>
      <c r="V132" s="40"/>
    </row>
    <row r="133" ht="12.75" customHeight="1">
      <c r="H133" s="40"/>
      <c r="I133" s="40"/>
      <c r="J133" s="41"/>
      <c r="K133" s="40"/>
      <c r="N133" s="42"/>
      <c r="V133" s="40"/>
    </row>
    <row r="134" ht="12.75" customHeight="1">
      <c r="H134" s="40"/>
      <c r="I134" s="40"/>
      <c r="J134" s="41"/>
      <c r="K134" s="40"/>
      <c r="N134" s="42"/>
      <c r="V134" s="40"/>
    </row>
    <row r="135" ht="12.75" customHeight="1">
      <c r="H135" s="40"/>
      <c r="I135" s="40"/>
      <c r="J135" s="41"/>
      <c r="K135" s="40"/>
      <c r="N135" s="42"/>
      <c r="V135" s="40"/>
    </row>
    <row r="136" ht="12.75" customHeight="1">
      <c r="H136" s="40"/>
      <c r="I136" s="40"/>
      <c r="J136" s="41"/>
      <c r="K136" s="40"/>
      <c r="N136" s="42"/>
      <c r="V136" s="40"/>
    </row>
    <row r="137" ht="12.75" customHeight="1">
      <c r="H137" s="40"/>
      <c r="I137" s="40"/>
      <c r="J137" s="41"/>
      <c r="K137" s="40"/>
      <c r="N137" s="42"/>
      <c r="V137" s="40"/>
    </row>
    <row r="138" ht="12.75" customHeight="1">
      <c r="H138" s="40"/>
      <c r="I138" s="40"/>
      <c r="J138" s="41"/>
      <c r="K138" s="40"/>
      <c r="N138" s="42"/>
      <c r="V138" s="40"/>
    </row>
    <row r="139" ht="12.75" customHeight="1">
      <c r="H139" s="40"/>
      <c r="I139" s="40"/>
      <c r="J139" s="41"/>
      <c r="K139" s="40"/>
      <c r="N139" s="42"/>
      <c r="V139" s="40"/>
    </row>
    <row r="140" ht="12.75" customHeight="1">
      <c r="H140" s="40"/>
      <c r="I140" s="40"/>
      <c r="J140" s="41"/>
      <c r="K140" s="40"/>
      <c r="N140" s="42"/>
      <c r="V140" s="40"/>
    </row>
    <row r="141" ht="12.75" customHeight="1">
      <c r="H141" s="40"/>
      <c r="I141" s="40"/>
      <c r="J141" s="41"/>
      <c r="K141" s="40"/>
      <c r="N141" s="42"/>
      <c r="V141" s="40"/>
    </row>
    <row r="142" ht="12.75" customHeight="1">
      <c r="H142" s="40"/>
      <c r="I142" s="40"/>
      <c r="J142" s="41"/>
      <c r="K142" s="40"/>
      <c r="N142" s="42"/>
      <c r="V142" s="40"/>
    </row>
    <row r="143" ht="12.75" customHeight="1">
      <c r="H143" s="40"/>
      <c r="I143" s="40"/>
      <c r="J143" s="41"/>
      <c r="K143" s="40"/>
      <c r="N143" s="42"/>
      <c r="V143" s="40"/>
    </row>
    <row r="144" ht="12.75" customHeight="1">
      <c r="H144" s="40"/>
      <c r="I144" s="40"/>
      <c r="J144" s="41"/>
      <c r="K144" s="40"/>
      <c r="N144" s="42"/>
      <c r="V144" s="40"/>
    </row>
    <row r="145" ht="12.75" customHeight="1">
      <c r="H145" s="40"/>
      <c r="I145" s="40"/>
      <c r="J145" s="41"/>
      <c r="K145" s="40"/>
      <c r="N145" s="42"/>
      <c r="V145" s="40"/>
    </row>
    <row r="146" ht="12.75" customHeight="1">
      <c r="H146" s="40"/>
      <c r="I146" s="40"/>
      <c r="J146" s="41"/>
      <c r="K146" s="40"/>
      <c r="N146" s="42"/>
      <c r="V146" s="40"/>
    </row>
    <row r="147" ht="12.75" customHeight="1">
      <c r="H147" s="40"/>
      <c r="I147" s="40"/>
      <c r="J147" s="41"/>
      <c r="K147" s="40"/>
      <c r="N147" s="42"/>
      <c r="V147" s="40"/>
    </row>
    <row r="148" ht="12.75" customHeight="1">
      <c r="H148" s="40"/>
      <c r="I148" s="40"/>
      <c r="J148" s="41"/>
      <c r="K148" s="40"/>
      <c r="N148" s="42"/>
      <c r="V148" s="40"/>
    </row>
    <row r="149" ht="12.75" customHeight="1">
      <c r="H149" s="40"/>
      <c r="I149" s="40"/>
      <c r="J149" s="41"/>
      <c r="K149" s="40"/>
      <c r="N149" s="42"/>
      <c r="V149" s="40"/>
    </row>
    <row r="150" ht="12.75" customHeight="1">
      <c r="H150" s="40"/>
      <c r="I150" s="40"/>
      <c r="J150" s="41"/>
      <c r="K150" s="40"/>
      <c r="N150" s="42"/>
      <c r="V150" s="40"/>
    </row>
    <row r="151" ht="12.75" customHeight="1">
      <c r="H151" s="40"/>
      <c r="I151" s="40"/>
      <c r="J151" s="41"/>
      <c r="K151" s="40"/>
      <c r="N151" s="42"/>
      <c r="V151" s="40"/>
    </row>
    <row r="152" ht="12.75" customHeight="1">
      <c r="H152" s="40"/>
      <c r="I152" s="40"/>
      <c r="J152" s="41"/>
      <c r="K152" s="40"/>
      <c r="N152" s="42"/>
      <c r="V152" s="40"/>
    </row>
    <row r="153" ht="12.75" customHeight="1">
      <c r="H153" s="40"/>
      <c r="I153" s="40"/>
      <c r="J153" s="41"/>
      <c r="K153" s="40"/>
      <c r="N153" s="42"/>
      <c r="V153" s="40"/>
    </row>
    <row r="154" ht="12.75" customHeight="1">
      <c r="H154" s="40"/>
      <c r="I154" s="40"/>
      <c r="J154" s="41"/>
      <c r="K154" s="40"/>
      <c r="N154" s="42"/>
      <c r="V154" s="40"/>
    </row>
    <row r="155" ht="12.75" customHeight="1">
      <c r="H155" s="40"/>
      <c r="I155" s="40"/>
      <c r="J155" s="41"/>
      <c r="K155" s="40"/>
      <c r="N155" s="42"/>
      <c r="V155" s="40"/>
    </row>
    <row r="156" ht="12.75" customHeight="1">
      <c r="H156" s="40"/>
      <c r="I156" s="40"/>
      <c r="J156" s="41"/>
      <c r="K156" s="40"/>
      <c r="N156" s="42"/>
      <c r="V156" s="40"/>
    </row>
    <row r="157" ht="12.75" customHeight="1">
      <c r="H157" s="40"/>
      <c r="I157" s="40"/>
      <c r="J157" s="41"/>
      <c r="K157" s="40"/>
      <c r="N157" s="42"/>
      <c r="V157" s="40"/>
    </row>
    <row r="158" ht="12.75" customHeight="1">
      <c r="H158" s="40"/>
      <c r="I158" s="40"/>
      <c r="J158" s="41"/>
      <c r="K158" s="40"/>
      <c r="N158" s="42"/>
      <c r="V158" s="40"/>
    </row>
    <row r="159" ht="12.75" customHeight="1">
      <c r="H159" s="40"/>
      <c r="I159" s="40"/>
      <c r="J159" s="41"/>
      <c r="K159" s="40"/>
      <c r="N159" s="42"/>
      <c r="V159" s="40"/>
    </row>
    <row r="160" ht="12.75" customHeight="1">
      <c r="H160" s="40"/>
      <c r="I160" s="40"/>
      <c r="J160" s="41"/>
      <c r="K160" s="40"/>
      <c r="N160" s="42"/>
      <c r="V160" s="40"/>
    </row>
    <row r="161" ht="12.75" customHeight="1">
      <c r="H161" s="40"/>
      <c r="I161" s="40"/>
      <c r="J161" s="41"/>
      <c r="K161" s="40"/>
      <c r="N161" s="42"/>
      <c r="V161" s="40"/>
    </row>
    <row r="162" ht="12.75" customHeight="1">
      <c r="H162" s="40"/>
      <c r="I162" s="40"/>
      <c r="J162" s="41"/>
      <c r="K162" s="40"/>
      <c r="N162" s="42"/>
      <c r="V162" s="40"/>
    </row>
    <row r="163" ht="12.75" customHeight="1">
      <c r="H163" s="40"/>
      <c r="I163" s="40"/>
      <c r="J163" s="41"/>
      <c r="K163" s="40"/>
      <c r="N163" s="42"/>
      <c r="V163" s="40"/>
    </row>
    <row r="164" ht="12.75" customHeight="1">
      <c r="H164" s="40"/>
      <c r="I164" s="40"/>
      <c r="J164" s="41"/>
      <c r="K164" s="40"/>
      <c r="N164" s="42"/>
      <c r="V164" s="40"/>
    </row>
    <row r="165" ht="12.75" customHeight="1">
      <c r="H165" s="40"/>
      <c r="I165" s="40"/>
      <c r="J165" s="41"/>
      <c r="K165" s="40"/>
      <c r="N165" s="42"/>
      <c r="V165" s="40"/>
    </row>
    <row r="166" ht="12.75" customHeight="1">
      <c r="H166" s="40"/>
      <c r="I166" s="40"/>
      <c r="J166" s="41"/>
      <c r="K166" s="40"/>
      <c r="N166" s="42"/>
      <c r="V166" s="40"/>
    </row>
    <row r="167" ht="12.75" customHeight="1">
      <c r="H167" s="40"/>
      <c r="I167" s="40"/>
      <c r="J167" s="41"/>
      <c r="K167" s="40"/>
      <c r="N167" s="42"/>
      <c r="V167" s="40"/>
    </row>
    <row r="168" ht="12.75" customHeight="1">
      <c r="H168" s="40"/>
      <c r="I168" s="40"/>
      <c r="J168" s="41"/>
      <c r="K168" s="40"/>
      <c r="N168" s="42"/>
      <c r="V168" s="40"/>
    </row>
    <row r="169" ht="12.75" customHeight="1">
      <c r="H169" s="40"/>
      <c r="I169" s="40"/>
      <c r="J169" s="41"/>
      <c r="K169" s="40"/>
      <c r="N169" s="42"/>
      <c r="V169" s="40"/>
    </row>
    <row r="170" ht="12.75" customHeight="1">
      <c r="H170" s="40"/>
      <c r="I170" s="40"/>
      <c r="J170" s="41"/>
      <c r="K170" s="40"/>
      <c r="N170" s="42"/>
      <c r="V170" s="40"/>
    </row>
    <row r="171" ht="12.75" customHeight="1">
      <c r="H171" s="40"/>
      <c r="I171" s="40"/>
      <c r="J171" s="41"/>
      <c r="K171" s="40"/>
      <c r="N171" s="42"/>
      <c r="V171" s="40"/>
    </row>
    <row r="172" ht="12.75" customHeight="1">
      <c r="H172" s="40"/>
      <c r="I172" s="40"/>
      <c r="J172" s="41"/>
      <c r="K172" s="40"/>
      <c r="N172" s="42"/>
      <c r="V172" s="40"/>
    </row>
    <row r="173" ht="12.75" customHeight="1">
      <c r="H173" s="40"/>
      <c r="I173" s="40"/>
      <c r="J173" s="41"/>
      <c r="K173" s="40"/>
      <c r="N173" s="42"/>
      <c r="V173" s="40"/>
    </row>
    <row r="174" ht="12.75" customHeight="1">
      <c r="H174" s="40"/>
      <c r="I174" s="40"/>
      <c r="J174" s="41"/>
      <c r="K174" s="40"/>
      <c r="N174" s="42"/>
      <c r="V174" s="40"/>
    </row>
    <row r="175" ht="12.75" customHeight="1">
      <c r="H175" s="40"/>
      <c r="I175" s="40"/>
      <c r="J175" s="41"/>
      <c r="K175" s="40"/>
      <c r="N175" s="42"/>
      <c r="V175" s="40"/>
    </row>
    <row r="176" ht="12.75" customHeight="1">
      <c r="H176" s="40"/>
      <c r="I176" s="40"/>
      <c r="J176" s="41"/>
      <c r="K176" s="40"/>
      <c r="N176" s="42"/>
      <c r="V176" s="40"/>
    </row>
    <row r="177" ht="12.75" customHeight="1">
      <c r="H177" s="40"/>
      <c r="I177" s="40"/>
      <c r="J177" s="41"/>
      <c r="K177" s="40"/>
      <c r="N177" s="42"/>
      <c r="V177" s="40"/>
    </row>
    <row r="178" ht="12.75" customHeight="1">
      <c r="H178" s="40"/>
      <c r="I178" s="40"/>
      <c r="J178" s="41"/>
      <c r="K178" s="40"/>
      <c r="N178" s="42"/>
      <c r="V178" s="40"/>
    </row>
    <row r="179" ht="12.75" customHeight="1">
      <c r="H179" s="40"/>
      <c r="I179" s="40"/>
      <c r="J179" s="41"/>
      <c r="K179" s="40"/>
      <c r="N179" s="42"/>
      <c r="V179" s="40"/>
    </row>
    <row r="180" ht="12.75" customHeight="1">
      <c r="H180" s="40"/>
      <c r="I180" s="40"/>
      <c r="J180" s="41"/>
      <c r="K180" s="40"/>
      <c r="N180" s="42"/>
      <c r="V180" s="40"/>
    </row>
    <row r="181" ht="12.75" customHeight="1">
      <c r="H181" s="40"/>
      <c r="I181" s="40"/>
      <c r="J181" s="41"/>
      <c r="K181" s="40"/>
      <c r="N181" s="42"/>
      <c r="V181" s="40"/>
    </row>
    <row r="182" ht="12.75" customHeight="1">
      <c r="H182" s="40"/>
      <c r="I182" s="40"/>
      <c r="J182" s="41"/>
      <c r="K182" s="40"/>
      <c r="N182" s="42"/>
      <c r="V182" s="40"/>
    </row>
    <row r="183" ht="12.75" customHeight="1">
      <c r="H183" s="40"/>
      <c r="I183" s="40"/>
      <c r="J183" s="41"/>
      <c r="K183" s="40"/>
      <c r="N183" s="42"/>
      <c r="V183" s="40"/>
    </row>
    <row r="184" ht="12.75" customHeight="1">
      <c r="H184" s="40"/>
      <c r="I184" s="40"/>
      <c r="J184" s="41"/>
      <c r="K184" s="40"/>
      <c r="N184" s="42"/>
      <c r="V184" s="40"/>
    </row>
    <row r="185" ht="12.75" customHeight="1">
      <c r="H185" s="40"/>
      <c r="I185" s="40"/>
      <c r="J185" s="41"/>
      <c r="K185" s="40"/>
      <c r="N185" s="42"/>
      <c r="V185" s="40"/>
    </row>
    <row r="186" ht="12.75" customHeight="1">
      <c r="H186" s="40"/>
      <c r="I186" s="40"/>
      <c r="J186" s="41"/>
      <c r="K186" s="40"/>
      <c r="N186" s="42"/>
      <c r="V186" s="40"/>
    </row>
    <row r="187" ht="12.75" customHeight="1">
      <c r="H187" s="40"/>
      <c r="I187" s="40"/>
      <c r="J187" s="41"/>
      <c r="K187" s="40"/>
      <c r="N187" s="42"/>
      <c r="V187" s="40"/>
    </row>
    <row r="188" ht="12.75" customHeight="1">
      <c r="H188" s="40"/>
      <c r="I188" s="40"/>
      <c r="J188" s="41"/>
      <c r="K188" s="40"/>
      <c r="N188" s="42"/>
      <c r="V188" s="40"/>
    </row>
    <row r="189" ht="12.75" customHeight="1">
      <c r="H189" s="40"/>
      <c r="I189" s="40"/>
      <c r="J189" s="41"/>
      <c r="K189" s="40"/>
      <c r="N189" s="42"/>
      <c r="V189" s="40"/>
    </row>
    <row r="190" ht="12.75" customHeight="1">
      <c r="H190" s="40"/>
      <c r="I190" s="40"/>
      <c r="J190" s="41"/>
      <c r="K190" s="40"/>
      <c r="N190" s="42"/>
      <c r="V190" s="40"/>
    </row>
    <row r="191" ht="12.75" customHeight="1">
      <c r="H191" s="40"/>
      <c r="I191" s="40"/>
      <c r="J191" s="41"/>
      <c r="K191" s="40"/>
      <c r="N191" s="42"/>
      <c r="V191" s="40"/>
    </row>
    <row r="192" ht="12.75" customHeight="1">
      <c r="H192" s="40"/>
      <c r="I192" s="40"/>
      <c r="J192" s="41"/>
      <c r="K192" s="40"/>
      <c r="N192" s="42"/>
      <c r="V192" s="40"/>
    </row>
    <row r="193" ht="12.75" customHeight="1">
      <c r="H193" s="40"/>
      <c r="I193" s="40"/>
      <c r="J193" s="41"/>
      <c r="K193" s="40"/>
      <c r="N193" s="42"/>
      <c r="V193" s="40"/>
    </row>
    <row r="194" ht="12.75" customHeight="1">
      <c r="H194" s="40"/>
      <c r="I194" s="40"/>
      <c r="J194" s="41"/>
      <c r="K194" s="40"/>
      <c r="N194" s="42"/>
      <c r="V194" s="40"/>
    </row>
    <row r="195" ht="12.75" customHeight="1">
      <c r="H195" s="40"/>
      <c r="I195" s="40"/>
      <c r="J195" s="41"/>
      <c r="K195" s="40"/>
      <c r="N195" s="42"/>
      <c r="V195" s="40"/>
    </row>
    <row r="196" ht="12.75" customHeight="1">
      <c r="H196" s="40"/>
      <c r="I196" s="40"/>
      <c r="J196" s="41"/>
      <c r="K196" s="40"/>
      <c r="N196" s="42"/>
      <c r="V196" s="40"/>
    </row>
    <row r="197" ht="12.75" customHeight="1">
      <c r="H197" s="40"/>
      <c r="I197" s="40"/>
      <c r="J197" s="41"/>
      <c r="K197" s="40"/>
      <c r="N197" s="42"/>
      <c r="V197" s="40"/>
    </row>
    <row r="198" ht="12.75" customHeight="1">
      <c r="H198" s="40"/>
      <c r="I198" s="40"/>
      <c r="J198" s="41"/>
      <c r="K198" s="40"/>
      <c r="N198" s="42"/>
      <c r="V198" s="40"/>
    </row>
    <row r="199" ht="12.75" customHeight="1">
      <c r="H199" s="40"/>
      <c r="I199" s="40"/>
      <c r="J199" s="41"/>
      <c r="K199" s="40"/>
      <c r="N199" s="42"/>
      <c r="V199" s="40"/>
    </row>
    <row r="200" ht="12.75" customHeight="1">
      <c r="H200" s="40"/>
      <c r="I200" s="40"/>
      <c r="J200" s="41"/>
      <c r="K200" s="40"/>
      <c r="N200" s="42"/>
      <c r="V200" s="40"/>
    </row>
    <row r="201" ht="12.75" customHeight="1">
      <c r="H201" s="40"/>
      <c r="I201" s="40"/>
      <c r="J201" s="41"/>
      <c r="K201" s="40"/>
      <c r="N201" s="42"/>
      <c r="V201" s="40"/>
    </row>
    <row r="202" ht="12.75" customHeight="1">
      <c r="H202" s="40"/>
      <c r="I202" s="40"/>
      <c r="J202" s="41"/>
      <c r="K202" s="40"/>
      <c r="N202" s="42"/>
      <c r="V202" s="40"/>
    </row>
    <row r="203" ht="12.75" customHeight="1">
      <c r="H203" s="40"/>
      <c r="I203" s="40"/>
      <c r="J203" s="41"/>
      <c r="K203" s="40"/>
      <c r="N203" s="42"/>
      <c r="V203" s="40"/>
    </row>
    <row r="204" ht="12.75" customHeight="1">
      <c r="H204" s="40"/>
      <c r="I204" s="40"/>
      <c r="J204" s="41"/>
      <c r="K204" s="40"/>
      <c r="N204" s="42"/>
      <c r="V204" s="40"/>
    </row>
    <row r="205" ht="12.75" customHeight="1">
      <c r="H205" s="40"/>
      <c r="I205" s="40"/>
      <c r="J205" s="41"/>
      <c r="K205" s="40"/>
      <c r="N205" s="42"/>
      <c r="V205" s="40"/>
    </row>
    <row r="206" ht="12.75" customHeight="1">
      <c r="H206" s="40"/>
      <c r="I206" s="40"/>
      <c r="J206" s="41"/>
      <c r="K206" s="40"/>
      <c r="N206" s="42"/>
      <c r="V206" s="40"/>
    </row>
    <row r="207" ht="12.75" customHeight="1">
      <c r="H207" s="40"/>
      <c r="I207" s="40"/>
      <c r="J207" s="41"/>
      <c r="K207" s="40"/>
      <c r="N207" s="42"/>
      <c r="V207" s="40"/>
    </row>
    <row r="208" ht="12.75" customHeight="1">
      <c r="H208" s="40"/>
      <c r="I208" s="40"/>
      <c r="J208" s="41"/>
      <c r="K208" s="40"/>
      <c r="N208" s="42"/>
      <c r="V208" s="40"/>
    </row>
    <row r="209" ht="12.75" customHeight="1">
      <c r="H209" s="40"/>
      <c r="I209" s="40"/>
      <c r="J209" s="41"/>
      <c r="K209" s="40"/>
      <c r="N209" s="42"/>
      <c r="V209" s="40"/>
    </row>
    <row r="210" ht="12.75" customHeight="1">
      <c r="H210" s="40"/>
      <c r="I210" s="40"/>
      <c r="J210" s="41"/>
      <c r="K210" s="40"/>
      <c r="N210" s="42"/>
      <c r="V210" s="40"/>
    </row>
    <row r="211" ht="12.75" customHeight="1">
      <c r="H211" s="40"/>
      <c r="I211" s="40"/>
      <c r="J211" s="41"/>
      <c r="K211" s="40"/>
      <c r="N211" s="42"/>
      <c r="V211" s="40"/>
    </row>
    <row r="212" ht="12.75" customHeight="1">
      <c r="H212" s="40"/>
      <c r="I212" s="40"/>
      <c r="J212" s="41"/>
      <c r="K212" s="40"/>
      <c r="N212" s="42"/>
      <c r="V212" s="40"/>
    </row>
    <row r="213" ht="12.75" customHeight="1">
      <c r="H213" s="40"/>
      <c r="I213" s="40"/>
      <c r="J213" s="41"/>
      <c r="K213" s="40"/>
      <c r="N213" s="42"/>
      <c r="V213" s="40"/>
    </row>
    <row r="214" ht="12.75" customHeight="1">
      <c r="H214" s="40"/>
      <c r="I214" s="40"/>
      <c r="J214" s="41"/>
      <c r="K214" s="40"/>
      <c r="N214" s="42"/>
      <c r="V214" s="40"/>
    </row>
    <row r="215" ht="12.75" customHeight="1">
      <c r="H215" s="40"/>
      <c r="I215" s="40"/>
      <c r="J215" s="41"/>
      <c r="K215" s="40"/>
      <c r="N215" s="42"/>
      <c r="V215" s="40"/>
    </row>
    <row r="216" ht="12.75" customHeight="1">
      <c r="H216" s="40"/>
      <c r="I216" s="40"/>
      <c r="J216" s="41"/>
      <c r="K216" s="40"/>
      <c r="N216" s="42"/>
      <c r="V216" s="40"/>
    </row>
    <row r="217" ht="12.75" customHeight="1">
      <c r="H217" s="40"/>
      <c r="I217" s="40"/>
      <c r="J217" s="41"/>
      <c r="K217" s="40"/>
      <c r="N217" s="42"/>
      <c r="V217" s="40"/>
    </row>
    <row r="218" ht="12.75" customHeight="1">
      <c r="H218" s="40"/>
      <c r="I218" s="40"/>
      <c r="J218" s="41"/>
      <c r="K218" s="40"/>
      <c r="N218" s="42"/>
      <c r="V218" s="40"/>
    </row>
    <row r="219" ht="12.75" customHeight="1">
      <c r="H219" s="40"/>
      <c r="I219" s="40"/>
      <c r="J219" s="41"/>
      <c r="K219" s="40"/>
      <c r="N219" s="42"/>
      <c r="V219" s="40"/>
    </row>
    <row r="220" ht="12.75" customHeight="1">
      <c r="H220" s="40"/>
      <c r="I220" s="40"/>
      <c r="J220" s="41"/>
      <c r="K220" s="40"/>
      <c r="N220" s="42"/>
      <c r="V220" s="40"/>
    </row>
    <row r="221" ht="12.75" customHeight="1">
      <c r="H221" s="40"/>
      <c r="I221" s="40"/>
      <c r="J221" s="41"/>
      <c r="K221" s="40"/>
      <c r="N221" s="42"/>
      <c r="V221" s="40"/>
    </row>
    <row r="222" ht="12.75" customHeight="1">
      <c r="H222" s="40"/>
      <c r="I222" s="40"/>
      <c r="J222" s="41"/>
      <c r="K222" s="40"/>
      <c r="N222" s="42"/>
      <c r="V222" s="40"/>
    </row>
    <row r="223" ht="12.75" customHeight="1">
      <c r="H223" s="40"/>
      <c r="I223" s="40"/>
      <c r="J223" s="41"/>
      <c r="K223" s="40"/>
      <c r="N223" s="42"/>
      <c r="V223" s="40"/>
    </row>
    <row r="224" ht="12.75" customHeight="1">
      <c r="H224" s="40"/>
      <c r="I224" s="40"/>
      <c r="J224" s="41"/>
      <c r="K224" s="40"/>
      <c r="N224" s="42"/>
      <c r="V224" s="40"/>
    </row>
    <row r="225" ht="12.75" customHeight="1">
      <c r="H225" s="40"/>
      <c r="I225" s="40"/>
      <c r="J225" s="41"/>
      <c r="K225" s="40"/>
      <c r="N225" s="42"/>
      <c r="V225" s="40"/>
    </row>
    <row r="226" ht="12.75" customHeight="1">
      <c r="H226" s="40"/>
      <c r="I226" s="40"/>
      <c r="J226" s="41"/>
      <c r="K226" s="40"/>
      <c r="N226" s="42"/>
      <c r="V226" s="40"/>
    </row>
    <row r="227" ht="12.75" customHeight="1">
      <c r="H227" s="40"/>
      <c r="I227" s="40"/>
      <c r="J227" s="41"/>
      <c r="K227" s="40"/>
      <c r="N227" s="42"/>
      <c r="V227" s="40"/>
    </row>
    <row r="228" ht="12.75" customHeight="1">
      <c r="H228" s="40"/>
      <c r="I228" s="40"/>
      <c r="J228" s="41"/>
      <c r="K228" s="40"/>
      <c r="N228" s="42"/>
      <c r="V228" s="40"/>
    </row>
    <row r="229" ht="12.75" customHeight="1">
      <c r="H229" s="40"/>
      <c r="I229" s="40"/>
      <c r="J229" s="41"/>
      <c r="K229" s="40"/>
      <c r="N229" s="42"/>
      <c r="V229" s="40"/>
    </row>
    <row r="230" ht="12.75" customHeight="1">
      <c r="H230" s="40"/>
      <c r="I230" s="40"/>
      <c r="J230" s="41"/>
      <c r="K230" s="40"/>
      <c r="N230" s="42"/>
      <c r="V230" s="40"/>
    </row>
    <row r="231" ht="12.75" customHeight="1">
      <c r="H231" s="40"/>
      <c r="I231" s="40"/>
      <c r="J231" s="41"/>
      <c r="K231" s="40"/>
      <c r="N231" s="42"/>
      <c r="V231" s="40"/>
    </row>
    <row r="232" ht="12.75" customHeight="1">
      <c r="H232" s="40"/>
      <c r="I232" s="40"/>
      <c r="J232" s="41"/>
      <c r="K232" s="40"/>
      <c r="N232" s="42"/>
      <c r="V232" s="40"/>
    </row>
    <row r="233" ht="12.75" customHeight="1">
      <c r="H233" s="40"/>
      <c r="I233" s="40"/>
      <c r="J233" s="41"/>
      <c r="K233" s="40"/>
      <c r="N233" s="42"/>
      <c r="V233" s="40"/>
    </row>
    <row r="234" ht="12.75" customHeight="1">
      <c r="H234" s="40"/>
      <c r="I234" s="40"/>
      <c r="J234" s="41"/>
      <c r="K234" s="40"/>
      <c r="N234" s="42"/>
      <c r="V234" s="40"/>
    </row>
    <row r="235" ht="12.75" customHeight="1">
      <c r="H235" s="40"/>
      <c r="I235" s="40"/>
      <c r="J235" s="41"/>
      <c r="K235" s="40"/>
      <c r="N235" s="42"/>
      <c r="V235" s="40"/>
    </row>
    <row r="236" ht="12.75" customHeight="1">
      <c r="H236" s="40"/>
      <c r="I236" s="40"/>
      <c r="J236" s="41"/>
      <c r="K236" s="40"/>
      <c r="N236" s="42"/>
      <c r="V236" s="40"/>
    </row>
    <row r="237" ht="12.75" customHeight="1">
      <c r="H237" s="40"/>
      <c r="I237" s="40"/>
      <c r="J237" s="41"/>
      <c r="K237" s="40"/>
      <c r="N237" s="42"/>
      <c r="V237" s="40"/>
    </row>
    <row r="238" ht="12.75" customHeight="1">
      <c r="H238" s="40"/>
      <c r="I238" s="40"/>
      <c r="J238" s="41"/>
      <c r="K238" s="40"/>
      <c r="N238" s="42"/>
      <c r="V238" s="40"/>
    </row>
    <row r="239" ht="12.75" customHeight="1">
      <c r="H239" s="40"/>
      <c r="I239" s="40"/>
      <c r="J239" s="41"/>
      <c r="K239" s="40"/>
      <c r="N239" s="42"/>
      <c r="V239" s="40"/>
    </row>
    <row r="240" ht="12.75" customHeight="1">
      <c r="H240" s="40"/>
      <c r="I240" s="40"/>
      <c r="J240" s="41"/>
      <c r="K240" s="40"/>
      <c r="N240" s="42"/>
      <c r="V240" s="40"/>
    </row>
    <row r="241" ht="12.75" customHeight="1">
      <c r="H241" s="40"/>
      <c r="I241" s="40"/>
      <c r="J241" s="41"/>
      <c r="K241" s="40"/>
      <c r="N241" s="42"/>
      <c r="V241" s="40"/>
    </row>
    <row r="242" ht="12.75" customHeight="1">
      <c r="H242" s="40"/>
      <c r="I242" s="40"/>
      <c r="J242" s="41"/>
      <c r="K242" s="40"/>
      <c r="N242" s="42"/>
      <c r="V242" s="40"/>
    </row>
    <row r="243" ht="12.75" customHeight="1">
      <c r="H243" s="40"/>
      <c r="I243" s="40"/>
      <c r="J243" s="41"/>
      <c r="K243" s="40"/>
      <c r="N243" s="42"/>
      <c r="V243" s="40"/>
    </row>
    <row r="244" ht="12.75" customHeight="1">
      <c r="H244" s="40"/>
      <c r="I244" s="40"/>
      <c r="J244" s="41"/>
      <c r="K244" s="40"/>
      <c r="N244" s="42"/>
      <c r="V244" s="40"/>
    </row>
    <row r="245" ht="12.75" customHeight="1">
      <c r="H245" s="40"/>
      <c r="I245" s="40"/>
      <c r="J245" s="41"/>
      <c r="K245" s="40"/>
      <c r="N245" s="42"/>
      <c r="V245" s="40"/>
    </row>
    <row r="246" ht="12.75" customHeight="1">
      <c r="H246" s="40"/>
      <c r="I246" s="40"/>
      <c r="J246" s="41"/>
      <c r="K246" s="40"/>
      <c r="N246" s="42"/>
      <c r="V246" s="40"/>
    </row>
    <row r="247" ht="12.75" customHeight="1">
      <c r="H247" s="40"/>
      <c r="I247" s="40"/>
      <c r="J247" s="41"/>
      <c r="K247" s="40"/>
      <c r="N247" s="42"/>
      <c r="V247" s="40"/>
    </row>
    <row r="248" ht="12.75" customHeight="1">
      <c r="H248" s="40"/>
      <c r="I248" s="40"/>
      <c r="J248" s="41"/>
      <c r="K248" s="40"/>
      <c r="N248" s="42"/>
      <c r="V248" s="40"/>
    </row>
    <row r="249" ht="12.75" customHeight="1">
      <c r="H249" s="40"/>
      <c r="I249" s="40"/>
      <c r="J249" s="41"/>
      <c r="K249" s="40"/>
      <c r="N249" s="42"/>
      <c r="V249" s="40"/>
    </row>
    <row r="250" ht="12.75" customHeight="1">
      <c r="H250" s="40"/>
      <c r="I250" s="40"/>
      <c r="J250" s="41"/>
      <c r="K250" s="40"/>
      <c r="N250" s="42"/>
      <c r="V250" s="40"/>
    </row>
    <row r="251" ht="12.75" customHeight="1">
      <c r="H251" s="40"/>
      <c r="I251" s="40"/>
      <c r="J251" s="41"/>
      <c r="K251" s="40"/>
      <c r="N251" s="42"/>
      <c r="V251" s="40"/>
    </row>
    <row r="252" ht="12.75" customHeight="1">
      <c r="H252" s="40"/>
      <c r="I252" s="40"/>
      <c r="J252" s="41"/>
      <c r="K252" s="40"/>
      <c r="N252" s="42"/>
      <c r="V252" s="40"/>
    </row>
    <row r="253" ht="12.75" customHeight="1">
      <c r="H253" s="40"/>
      <c r="I253" s="40"/>
      <c r="J253" s="41"/>
      <c r="K253" s="40"/>
      <c r="N253" s="42"/>
      <c r="V253" s="40"/>
    </row>
    <row r="254" ht="12.75" customHeight="1">
      <c r="H254" s="40"/>
      <c r="I254" s="40"/>
      <c r="J254" s="41"/>
      <c r="K254" s="40"/>
      <c r="N254" s="42"/>
      <c r="V254" s="40"/>
    </row>
    <row r="255" ht="12.75" customHeight="1">
      <c r="H255" s="40"/>
      <c r="I255" s="40"/>
      <c r="J255" s="41"/>
      <c r="K255" s="40"/>
      <c r="N255" s="42"/>
      <c r="V255" s="40"/>
    </row>
    <row r="256" ht="12.75" customHeight="1">
      <c r="H256" s="40"/>
      <c r="I256" s="40"/>
      <c r="J256" s="41"/>
      <c r="K256" s="40"/>
      <c r="N256" s="42"/>
      <c r="V256" s="40"/>
    </row>
    <row r="257" ht="12.75" customHeight="1">
      <c r="H257" s="40"/>
      <c r="I257" s="40"/>
      <c r="J257" s="41"/>
      <c r="K257" s="40"/>
      <c r="N257" s="42"/>
      <c r="V257" s="40"/>
    </row>
    <row r="258" ht="12.75" customHeight="1">
      <c r="H258" s="40"/>
      <c r="I258" s="40"/>
      <c r="J258" s="41"/>
      <c r="K258" s="40"/>
      <c r="N258" s="42"/>
      <c r="V258" s="40"/>
    </row>
    <row r="259" ht="12.75" customHeight="1">
      <c r="H259" s="40"/>
      <c r="I259" s="40"/>
      <c r="J259" s="41"/>
      <c r="K259" s="40"/>
      <c r="N259" s="42"/>
      <c r="V259" s="40"/>
    </row>
    <row r="260" ht="12.75" customHeight="1">
      <c r="H260" s="40"/>
      <c r="I260" s="40"/>
      <c r="J260" s="41"/>
      <c r="K260" s="40"/>
      <c r="N260" s="42"/>
      <c r="V260" s="40"/>
    </row>
    <row r="261" ht="12.75" customHeight="1">
      <c r="H261" s="40"/>
      <c r="I261" s="40"/>
      <c r="J261" s="41"/>
      <c r="K261" s="40"/>
      <c r="N261" s="42"/>
      <c r="V261" s="40"/>
    </row>
    <row r="262" ht="12.75" customHeight="1">
      <c r="H262" s="40"/>
      <c r="I262" s="40"/>
      <c r="J262" s="41"/>
      <c r="K262" s="40"/>
      <c r="N262" s="42"/>
      <c r="V262" s="40"/>
    </row>
    <row r="263" ht="12.75" customHeight="1">
      <c r="H263" s="40"/>
      <c r="I263" s="40"/>
      <c r="J263" s="41"/>
      <c r="K263" s="40"/>
      <c r="N263" s="42"/>
      <c r="V263" s="40"/>
    </row>
    <row r="264" ht="12.75" customHeight="1">
      <c r="H264" s="40"/>
      <c r="I264" s="40"/>
      <c r="J264" s="41"/>
      <c r="K264" s="40"/>
      <c r="N264" s="42"/>
      <c r="V264" s="40"/>
    </row>
    <row r="265" ht="12.75" customHeight="1">
      <c r="H265" s="40"/>
      <c r="I265" s="40"/>
      <c r="J265" s="41"/>
      <c r="K265" s="40"/>
      <c r="N265" s="42"/>
      <c r="V265" s="40"/>
    </row>
    <row r="266" ht="12.75" customHeight="1">
      <c r="H266" s="40"/>
      <c r="I266" s="40"/>
      <c r="J266" s="41"/>
      <c r="K266" s="40"/>
      <c r="N266" s="42"/>
      <c r="V266" s="40"/>
    </row>
    <row r="267" ht="12.75" customHeight="1">
      <c r="H267" s="40"/>
      <c r="I267" s="40"/>
      <c r="J267" s="41"/>
      <c r="K267" s="40"/>
      <c r="N267" s="42"/>
      <c r="V267" s="40"/>
    </row>
    <row r="268" ht="12.75" customHeight="1">
      <c r="H268" s="40"/>
      <c r="I268" s="40"/>
      <c r="J268" s="41"/>
      <c r="K268" s="40"/>
      <c r="N268" s="42"/>
      <c r="V268" s="40"/>
    </row>
    <row r="269" ht="12.75" customHeight="1">
      <c r="H269" s="40"/>
      <c r="I269" s="40"/>
      <c r="J269" s="41"/>
      <c r="K269" s="40"/>
      <c r="N269" s="42"/>
      <c r="V269" s="40"/>
    </row>
    <row r="270" ht="12.75" customHeight="1">
      <c r="H270" s="40"/>
      <c r="I270" s="40"/>
      <c r="J270" s="41"/>
      <c r="K270" s="40"/>
      <c r="N270" s="42"/>
      <c r="V270" s="40"/>
    </row>
    <row r="271" ht="12.75" customHeight="1">
      <c r="H271" s="40"/>
      <c r="I271" s="40"/>
      <c r="J271" s="41"/>
      <c r="K271" s="40"/>
      <c r="N271" s="42"/>
      <c r="V271" s="40"/>
    </row>
    <row r="272" ht="12.75" customHeight="1">
      <c r="H272" s="40"/>
      <c r="I272" s="40"/>
      <c r="J272" s="41"/>
      <c r="K272" s="40"/>
      <c r="N272" s="42"/>
      <c r="V272" s="40"/>
    </row>
    <row r="273" ht="12.75" customHeight="1">
      <c r="H273" s="40"/>
      <c r="I273" s="40"/>
      <c r="J273" s="41"/>
      <c r="K273" s="40"/>
      <c r="N273" s="42"/>
      <c r="V273" s="40"/>
    </row>
    <row r="274" ht="12.75" customHeight="1">
      <c r="H274" s="40"/>
      <c r="I274" s="40"/>
      <c r="J274" s="41"/>
      <c r="K274" s="40"/>
      <c r="N274" s="42"/>
      <c r="V274" s="40"/>
    </row>
    <row r="275" ht="12.75" customHeight="1">
      <c r="H275" s="40"/>
      <c r="I275" s="40"/>
      <c r="J275" s="41"/>
      <c r="K275" s="40"/>
      <c r="N275" s="42"/>
      <c r="V275" s="40"/>
    </row>
    <row r="276" ht="12.75" customHeight="1">
      <c r="H276" s="40"/>
      <c r="I276" s="40"/>
      <c r="J276" s="41"/>
      <c r="K276" s="40"/>
      <c r="N276" s="42"/>
      <c r="V276" s="40"/>
    </row>
    <row r="277" ht="12.75" customHeight="1">
      <c r="H277" s="40"/>
      <c r="I277" s="40"/>
      <c r="J277" s="41"/>
      <c r="K277" s="40"/>
      <c r="N277" s="42"/>
      <c r="V277" s="40"/>
    </row>
    <row r="278" ht="12.75" customHeight="1">
      <c r="H278" s="40"/>
      <c r="I278" s="40"/>
      <c r="J278" s="41"/>
      <c r="K278" s="40"/>
      <c r="N278" s="42"/>
      <c r="V278" s="40"/>
    </row>
    <row r="279" ht="12.75" customHeight="1">
      <c r="H279" s="40"/>
      <c r="I279" s="40"/>
      <c r="J279" s="41"/>
      <c r="K279" s="40"/>
      <c r="N279" s="42"/>
      <c r="V279" s="40"/>
    </row>
    <row r="280" ht="12.75" customHeight="1">
      <c r="H280" s="40"/>
      <c r="I280" s="40"/>
      <c r="J280" s="41"/>
      <c r="K280" s="40"/>
      <c r="N280" s="42"/>
      <c r="V280" s="40"/>
    </row>
    <row r="281" ht="12.75" customHeight="1">
      <c r="H281" s="40"/>
      <c r="I281" s="40"/>
      <c r="J281" s="41"/>
      <c r="K281" s="40"/>
      <c r="N281" s="42"/>
      <c r="V281" s="40"/>
    </row>
    <row r="282" ht="12.75" customHeight="1">
      <c r="H282" s="40"/>
      <c r="I282" s="40"/>
      <c r="J282" s="41"/>
      <c r="K282" s="40"/>
      <c r="N282" s="42"/>
      <c r="V282" s="40"/>
    </row>
    <row r="283" ht="12.75" customHeight="1">
      <c r="H283" s="40"/>
      <c r="I283" s="40"/>
      <c r="J283" s="41"/>
      <c r="K283" s="40"/>
      <c r="N283" s="42"/>
      <c r="V283" s="40"/>
    </row>
    <row r="284" ht="12.75" customHeight="1">
      <c r="H284" s="40"/>
      <c r="I284" s="40"/>
      <c r="J284" s="41"/>
      <c r="K284" s="40"/>
      <c r="N284" s="42"/>
      <c r="V284" s="40"/>
    </row>
    <row r="285" ht="12.75" customHeight="1">
      <c r="H285" s="40"/>
      <c r="I285" s="40"/>
      <c r="J285" s="41"/>
      <c r="K285" s="40"/>
      <c r="N285" s="42"/>
      <c r="V285" s="40"/>
    </row>
    <row r="286" ht="12.75" customHeight="1">
      <c r="H286" s="40"/>
      <c r="I286" s="40"/>
      <c r="J286" s="41"/>
      <c r="K286" s="40"/>
      <c r="N286" s="42"/>
      <c r="V286" s="40"/>
    </row>
    <row r="287" ht="12.75" customHeight="1">
      <c r="H287" s="40"/>
      <c r="I287" s="40"/>
      <c r="J287" s="41"/>
      <c r="K287" s="40"/>
      <c r="N287" s="42"/>
      <c r="V287" s="40"/>
    </row>
    <row r="288" ht="12.75" customHeight="1">
      <c r="H288" s="40"/>
      <c r="I288" s="40"/>
      <c r="J288" s="41"/>
      <c r="K288" s="40"/>
      <c r="N288" s="42"/>
      <c r="V288" s="40"/>
    </row>
    <row r="289" ht="12.75" customHeight="1">
      <c r="H289" s="40"/>
      <c r="I289" s="40"/>
      <c r="J289" s="41"/>
      <c r="K289" s="40"/>
      <c r="N289" s="42"/>
      <c r="V289" s="40"/>
    </row>
    <row r="290" ht="12.75" customHeight="1">
      <c r="H290" s="40"/>
      <c r="I290" s="40"/>
      <c r="J290" s="41"/>
      <c r="K290" s="40"/>
      <c r="N290" s="42"/>
      <c r="V290" s="40"/>
    </row>
    <row r="291" ht="12.75" customHeight="1">
      <c r="H291" s="40"/>
      <c r="I291" s="40"/>
      <c r="J291" s="41"/>
      <c r="K291" s="40"/>
      <c r="N291" s="42"/>
      <c r="V291" s="40"/>
    </row>
    <row r="292" ht="12.75" customHeight="1">
      <c r="H292" s="40"/>
      <c r="I292" s="40"/>
      <c r="J292" s="41"/>
      <c r="K292" s="40"/>
      <c r="N292" s="42"/>
      <c r="V292" s="40"/>
    </row>
    <row r="293" ht="12.75" customHeight="1">
      <c r="H293" s="40"/>
      <c r="I293" s="40"/>
      <c r="J293" s="41"/>
      <c r="K293" s="40"/>
      <c r="N293" s="42"/>
      <c r="V293" s="40"/>
    </row>
    <row r="294" ht="12.75" customHeight="1">
      <c r="H294" s="40"/>
      <c r="I294" s="40"/>
      <c r="J294" s="41"/>
      <c r="K294" s="40"/>
      <c r="N294" s="42"/>
      <c r="V294" s="40"/>
    </row>
    <row r="295" ht="12.75" customHeight="1">
      <c r="H295" s="40"/>
      <c r="I295" s="40"/>
      <c r="J295" s="41"/>
      <c r="K295" s="40"/>
      <c r="N295" s="42"/>
      <c r="V295" s="40"/>
    </row>
    <row r="296" ht="12.75" customHeight="1">
      <c r="H296" s="40"/>
      <c r="I296" s="40"/>
      <c r="J296" s="41"/>
      <c r="K296" s="40"/>
      <c r="N296" s="42"/>
      <c r="V296" s="40"/>
    </row>
    <row r="297" ht="12.75" customHeight="1">
      <c r="H297" s="40"/>
      <c r="I297" s="40"/>
      <c r="J297" s="41"/>
      <c r="K297" s="40"/>
      <c r="N297" s="42"/>
      <c r="V297" s="40"/>
    </row>
    <row r="298" ht="12.75" customHeight="1">
      <c r="H298" s="40"/>
      <c r="I298" s="40"/>
      <c r="J298" s="41"/>
      <c r="K298" s="40"/>
      <c r="N298" s="42"/>
      <c r="V298" s="40"/>
    </row>
    <row r="299" ht="12.75" customHeight="1">
      <c r="H299" s="40"/>
      <c r="I299" s="40"/>
      <c r="J299" s="41"/>
      <c r="K299" s="40"/>
      <c r="N299" s="42"/>
      <c r="V299" s="40"/>
    </row>
    <row r="300" ht="12.75" customHeight="1">
      <c r="H300" s="40"/>
      <c r="I300" s="40"/>
      <c r="J300" s="41"/>
      <c r="K300" s="40"/>
      <c r="N300" s="42"/>
      <c r="V300" s="40"/>
    </row>
    <row r="301" ht="12.75" customHeight="1">
      <c r="H301" s="40"/>
      <c r="I301" s="40"/>
      <c r="J301" s="41"/>
      <c r="K301" s="40"/>
      <c r="N301" s="42"/>
      <c r="V301" s="40"/>
    </row>
    <row r="302" ht="12.75" customHeight="1">
      <c r="H302" s="40"/>
      <c r="I302" s="40"/>
      <c r="J302" s="41"/>
      <c r="K302" s="40"/>
      <c r="N302" s="42"/>
      <c r="V302" s="40"/>
    </row>
    <row r="303" ht="12.75" customHeight="1">
      <c r="H303" s="40"/>
      <c r="I303" s="40"/>
      <c r="J303" s="41"/>
      <c r="K303" s="40"/>
      <c r="N303" s="42"/>
      <c r="V303" s="40"/>
    </row>
    <row r="304" ht="12.75" customHeight="1">
      <c r="H304" s="40"/>
      <c r="I304" s="40"/>
      <c r="J304" s="41"/>
      <c r="K304" s="40"/>
      <c r="N304" s="42"/>
      <c r="V304" s="40"/>
    </row>
    <row r="305" ht="12.75" customHeight="1">
      <c r="H305" s="40"/>
      <c r="I305" s="40"/>
      <c r="J305" s="41"/>
      <c r="K305" s="40"/>
      <c r="N305" s="42"/>
      <c r="V305" s="40"/>
    </row>
    <row r="306" ht="12.75" customHeight="1">
      <c r="H306" s="40"/>
      <c r="I306" s="40"/>
      <c r="J306" s="41"/>
      <c r="K306" s="40"/>
      <c r="N306" s="42"/>
      <c r="V306" s="40"/>
    </row>
    <row r="307" ht="12.75" customHeight="1">
      <c r="H307" s="40"/>
      <c r="I307" s="40"/>
      <c r="J307" s="41"/>
      <c r="K307" s="40"/>
      <c r="N307" s="42"/>
      <c r="V307" s="40"/>
    </row>
    <row r="308" ht="12.75" customHeight="1">
      <c r="H308" s="40"/>
      <c r="I308" s="40"/>
      <c r="J308" s="41"/>
      <c r="K308" s="40"/>
      <c r="N308" s="42"/>
      <c r="V308" s="40"/>
    </row>
    <row r="309" ht="12.75" customHeight="1">
      <c r="H309" s="40"/>
      <c r="I309" s="40"/>
      <c r="J309" s="41"/>
      <c r="K309" s="40"/>
      <c r="N309" s="42"/>
      <c r="V309" s="40"/>
    </row>
    <row r="310" ht="12.75" customHeight="1">
      <c r="H310" s="40"/>
      <c r="I310" s="40"/>
      <c r="J310" s="41"/>
      <c r="K310" s="40"/>
      <c r="N310" s="42"/>
      <c r="V310" s="40"/>
    </row>
    <row r="311" ht="12.75" customHeight="1">
      <c r="H311" s="40"/>
      <c r="I311" s="40"/>
      <c r="J311" s="41"/>
      <c r="K311" s="40"/>
      <c r="N311" s="42"/>
      <c r="V311" s="40"/>
    </row>
    <row r="312" ht="12.75" customHeight="1">
      <c r="H312" s="40"/>
      <c r="I312" s="40"/>
      <c r="J312" s="41"/>
      <c r="K312" s="40"/>
      <c r="N312" s="42"/>
      <c r="V312" s="40"/>
    </row>
    <row r="313" ht="12.75" customHeight="1">
      <c r="H313" s="40"/>
      <c r="I313" s="40"/>
      <c r="J313" s="41"/>
      <c r="K313" s="40"/>
      <c r="N313" s="42"/>
      <c r="V313" s="40"/>
    </row>
    <row r="314" ht="12.75" customHeight="1">
      <c r="H314" s="40"/>
      <c r="I314" s="40"/>
      <c r="J314" s="41"/>
      <c r="K314" s="40"/>
      <c r="N314" s="42"/>
      <c r="V314" s="40"/>
    </row>
    <row r="315" ht="12.75" customHeight="1">
      <c r="H315" s="40"/>
      <c r="I315" s="40"/>
      <c r="J315" s="41"/>
      <c r="K315" s="40"/>
      <c r="N315" s="42"/>
      <c r="V315" s="40"/>
    </row>
    <row r="316" ht="12.75" customHeight="1">
      <c r="H316" s="40"/>
      <c r="I316" s="40"/>
      <c r="J316" s="41"/>
      <c r="K316" s="40"/>
      <c r="N316" s="42"/>
      <c r="V316" s="40"/>
    </row>
    <row r="317" ht="12.75" customHeight="1">
      <c r="H317" s="40"/>
      <c r="I317" s="40"/>
      <c r="J317" s="41"/>
      <c r="K317" s="40"/>
      <c r="N317" s="42"/>
      <c r="V317" s="40"/>
    </row>
    <row r="318" ht="12.75" customHeight="1">
      <c r="H318" s="40"/>
      <c r="I318" s="40"/>
      <c r="J318" s="41"/>
      <c r="K318" s="40"/>
      <c r="N318" s="42"/>
      <c r="V318" s="40"/>
    </row>
    <row r="319" ht="12.75" customHeight="1">
      <c r="H319" s="40"/>
      <c r="I319" s="40"/>
      <c r="J319" s="41"/>
      <c r="K319" s="40"/>
      <c r="N319" s="42"/>
      <c r="V319" s="40"/>
    </row>
    <row r="320" ht="12.75" customHeight="1">
      <c r="H320" s="40"/>
      <c r="I320" s="40"/>
      <c r="J320" s="41"/>
      <c r="K320" s="40"/>
      <c r="N320" s="42"/>
      <c r="V320" s="40"/>
    </row>
    <row r="321" ht="12.75" customHeight="1">
      <c r="H321" s="40"/>
      <c r="I321" s="40"/>
      <c r="J321" s="41"/>
      <c r="K321" s="40"/>
      <c r="N321" s="42"/>
      <c r="V321" s="40"/>
    </row>
    <row r="322" ht="12.75" customHeight="1">
      <c r="H322" s="40"/>
      <c r="I322" s="40"/>
      <c r="J322" s="41"/>
      <c r="K322" s="40"/>
      <c r="N322" s="42"/>
      <c r="V322" s="40"/>
    </row>
    <row r="323" ht="12.75" customHeight="1">
      <c r="H323" s="40"/>
      <c r="I323" s="40"/>
      <c r="J323" s="41"/>
      <c r="K323" s="40"/>
      <c r="N323" s="42"/>
      <c r="V323" s="40"/>
    </row>
    <row r="324" ht="12.75" customHeight="1">
      <c r="H324" s="40"/>
      <c r="I324" s="40"/>
      <c r="J324" s="41"/>
      <c r="K324" s="40"/>
      <c r="N324" s="42"/>
      <c r="V324" s="40"/>
    </row>
    <row r="325" ht="12.75" customHeight="1">
      <c r="H325" s="40"/>
      <c r="I325" s="40"/>
      <c r="J325" s="41"/>
      <c r="K325" s="40"/>
      <c r="N325" s="42"/>
      <c r="V325" s="40"/>
    </row>
    <row r="326" ht="12.75" customHeight="1">
      <c r="H326" s="40"/>
      <c r="I326" s="40"/>
      <c r="J326" s="41"/>
      <c r="K326" s="40"/>
      <c r="N326" s="42"/>
      <c r="V326" s="40"/>
    </row>
    <row r="327" ht="12.75" customHeight="1">
      <c r="H327" s="40"/>
      <c r="I327" s="40"/>
      <c r="J327" s="41"/>
      <c r="K327" s="40"/>
      <c r="N327" s="42"/>
      <c r="V327" s="40"/>
    </row>
    <row r="328" ht="12.75" customHeight="1">
      <c r="H328" s="40"/>
      <c r="I328" s="40"/>
      <c r="J328" s="41"/>
      <c r="K328" s="40"/>
      <c r="N328" s="42"/>
      <c r="V328" s="40"/>
    </row>
    <row r="329" ht="12.75" customHeight="1">
      <c r="H329" s="40"/>
      <c r="I329" s="40"/>
      <c r="J329" s="41"/>
      <c r="K329" s="40"/>
      <c r="N329" s="42"/>
      <c r="V329" s="40"/>
    </row>
    <row r="330" ht="12.75" customHeight="1">
      <c r="H330" s="40"/>
      <c r="I330" s="40"/>
      <c r="J330" s="41"/>
      <c r="K330" s="40"/>
      <c r="N330" s="42"/>
      <c r="V330" s="40"/>
    </row>
    <row r="331" ht="12.75" customHeight="1">
      <c r="H331" s="40"/>
      <c r="I331" s="40"/>
      <c r="J331" s="41"/>
      <c r="K331" s="40"/>
      <c r="N331" s="42"/>
      <c r="V331" s="40"/>
    </row>
    <row r="332" ht="12.75" customHeight="1">
      <c r="H332" s="40"/>
      <c r="I332" s="40"/>
      <c r="J332" s="41"/>
      <c r="K332" s="40"/>
      <c r="N332" s="42"/>
      <c r="V332" s="40"/>
    </row>
    <row r="333" ht="12.75" customHeight="1">
      <c r="H333" s="40"/>
      <c r="I333" s="40"/>
      <c r="J333" s="41"/>
      <c r="K333" s="40"/>
      <c r="N333" s="42"/>
      <c r="V333" s="40"/>
    </row>
    <row r="334" ht="12.75" customHeight="1">
      <c r="H334" s="40"/>
      <c r="I334" s="40"/>
      <c r="J334" s="41"/>
      <c r="K334" s="40"/>
      <c r="N334" s="42"/>
      <c r="V334" s="40"/>
    </row>
    <row r="335" ht="12.75" customHeight="1">
      <c r="H335" s="40"/>
      <c r="I335" s="40"/>
      <c r="J335" s="41"/>
      <c r="K335" s="40"/>
      <c r="N335" s="42"/>
      <c r="V335" s="40"/>
    </row>
    <row r="336" ht="12.75" customHeight="1">
      <c r="H336" s="40"/>
      <c r="I336" s="40"/>
      <c r="J336" s="41"/>
      <c r="K336" s="40"/>
      <c r="N336" s="42"/>
      <c r="V336" s="40"/>
    </row>
    <row r="337" ht="12.75" customHeight="1">
      <c r="H337" s="40"/>
      <c r="I337" s="40"/>
      <c r="J337" s="41"/>
      <c r="K337" s="40"/>
      <c r="N337" s="42"/>
      <c r="V337" s="40"/>
    </row>
    <row r="338" ht="12.75" customHeight="1">
      <c r="H338" s="40"/>
      <c r="I338" s="40"/>
      <c r="J338" s="41"/>
      <c r="K338" s="40"/>
      <c r="N338" s="42"/>
      <c r="V338" s="40"/>
    </row>
    <row r="339" ht="12.75" customHeight="1">
      <c r="H339" s="40"/>
      <c r="I339" s="40"/>
      <c r="J339" s="41"/>
      <c r="K339" s="40"/>
      <c r="N339" s="42"/>
      <c r="V339" s="40"/>
    </row>
    <row r="340" ht="12.75" customHeight="1">
      <c r="H340" s="40"/>
      <c r="I340" s="40"/>
      <c r="J340" s="41"/>
      <c r="K340" s="40"/>
      <c r="N340" s="42"/>
      <c r="V340" s="40"/>
    </row>
    <row r="341" ht="12.75" customHeight="1">
      <c r="H341" s="40"/>
      <c r="I341" s="40"/>
      <c r="J341" s="41"/>
      <c r="K341" s="40"/>
      <c r="N341" s="42"/>
      <c r="V341" s="40"/>
    </row>
    <row r="342" ht="12.75" customHeight="1">
      <c r="H342" s="40"/>
      <c r="I342" s="40"/>
      <c r="J342" s="41"/>
      <c r="K342" s="40"/>
      <c r="N342" s="42"/>
      <c r="V342" s="40"/>
    </row>
    <row r="343" ht="12.75" customHeight="1">
      <c r="H343" s="40"/>
      <c r="I343" s="40"/>
      <c r="J343" s="41"/>
      <c r="K343" s="40"/>
      <c r="N343" s="42"/>
      <c r="V343" s="40"/>
    </row>
    <row r="344" ht="12.75" customHeight="1">
      <c r="H344" s="40"/>
      <c r="I344" s="40"/>
      <c r="J344" s="41"/>
      <c r="K344" s="40"/>
      <c r="N344" s="42"/>
      <c r="V344" s="40"/>
    </row>
    <row r="345" ht="12.75" customHeight="1">
      <c r="H345" s="40"/>
      <c r="I345" s="40"/>
      <c r="J345" s="41"/>
      <c r="K345" s="40"/>
      <c r="N345" s="42"/>
      <c r="V345" s="40"/>
    </row>
    <row r="346" ht="12.75" customHeight="1">
      <c r="H346" s="40"/>
      <c r="I346" s="40"/>
      <c r="J346" s="41"/>
      <c r="K346" s="40"/>
      <c r="N346" s="42"/>
      <c r="V346" s="40"/>
    </row>
    <row r="347" ht="12.75" customHeight="1">
      <c r="H347" s="40"/>
      <c r="I347" s="40"/>
      <c r="J347" s="41"/>
      <c r="K347" s="40"/>
      <c r="N347" s="42"/>
      <c r="V347" s="40"/>
    </row>
    <row r="348" ht="12.75" customHeight="1">
      <c r="H348" s="40"/>
      <c r="I348" s="40"/>
      <c r="J348" s="41"/>
      <c r="K348" s="40"/>
      <c r="N348" s="42"/>
      <c r="V348" s="40"/>
    </row>
    <row r="349" ht="12.75" customHeight="1">
      <c r="H349" s="40"/>
      <c r="I349" s="40"/>
      <c r="J349" s="41"/>
      <c r="K349" s="40"/>
      <c r="N349" s="42"/>
      <c r="V349" s="40"/>
    </row>
    <row r="350" ht="12.75" customHeight="1">
      <c r="H350" s="40"/>
      <c r="I350" s="40"/>
      <c r="J350" s="41"/>
      <c r="K350" s="40"/>
      <c r="N350" s="42"/>
      <c r="V350" s="40"/>
    </row>
    <row r="351" ht="12.75" customHeight="1">
      <c r="H351" s="40"/>
      <c r="I351" s="40"/>
      <c r="J351" s="41"/>
      <c r="K351" s="40"/>
      <c r="N351" s="42"/>
      <c r="V351" s="40"/>
    </row>
    <row r="352" ht="12.75" customHeight="1">
      <c r="H352" s="40"/>
      <c r="I352" s="40"/>
      <c r="J352" s="41"/>
      <c r="K352" s="40"/>
      <c r="N352" s="42"/>
      <c r="V352" s="40"/>
    </row>
    <row r="353" ht="12.75" customHeight="1">
      <c r="H353" s="40"/>
      <c r="I353" s="40"/>
      <c r="J353" s="41"/>
      <c r="K353" s="40"/>
      <c r="N353" s="42"/>
      <c r="V353" s="40"/>
    </row>
    <row r="354" ht="12.75" customHeight="1">
      <c r="H354" s="40"/>
      <c r="I354" s="40"/>
      <c r="J354" s="41"/>
      <c r="K354" s="40"/>
      <c r="N354" s="42"/>
      <c r="V354" s="40"/>
    </row>
    <row r="355" ht="12.75" customHeight="1">
      <c r="H355" s="40"/>
      <c r="I355" s="40"/>
      <c r="J355" s="41"/>
      <c r="K355" s="40"/>
      <c r="N355" s="42"/>
      <c r="V355" s="40"/>
    </row>
    <row r="356" ht="12.75" customHeight="1">
      <c r="H356" s="40"/>
      <c r="I356" s="40"/>
      <c r="J356" s="41"/>
      <c r="K356" s="40"/>
      <c r="N356" s="42"/>
      <c r="V356" s="40"/>
    </row>
    <row r="357" ht="12.75" customHeight="1">
      <c r="H357" s="40"/>
      <c r="I357" s="40"/>
      <c r="J357" s="41"/>
      <c r="K357" s="40"/>
      <c r="N357" s="42"/>
      <c r="V357" s="40"/>
    </row>
    <row r="358" ht="12.75" customHeight="1">
      <c r="H358" s="40"/>
      <c r="I358" s="40"/>
      <c r="J358" s="41"/>
      <c r="K358" s="40"/>
      <c r="N358" s="42"/>
      <c r="V358" s="40"/>
    </row>
    <row r="359" ht="12.75" customHeight="1">
      <c r="H359" s="40"/>
      <c r="I359" s="40"/>
      <c r="J359" s="41"/>
      <c r="K359" s="40"/>
      <c r="N359" s="42"/>
      <c r="V359" s="40"/>
    </row>
    <row r="360" ht="12.75" customHeight="1">
      <c r="H360" s="40"/>
      <c r="I360" s="40"/>
      <c r="J360" s="41"/>
      <c r="K360" s="40"/>
      <c r="N360" s="42"/>
      <c r="V360" s="40"/>
    </row>
    <row r="361" ht="12.75" customHeight="1">
      <c r="H361" s="40"/>
      <c r="I361" s="40"/>
      <c r="J361" s="41"/>
      <c r="K361" s="40"/>
      <c r="N361" s="42"/>
      <c r="V361" s="40"/>
    </row>
    <row r="362" ht="12.75" customHeight="1">
      <c r="H362" s="40"/>
      <c r="I362" s="40"/>
      <c r="J362" s="41"/>
      <c r="K362" s="40"/>
      <c r="N362" s="42"/>
      <c r="V362" s="40"/>
    </row>
    <row r="363" ht="12.75" customHeight="1">
      <c r="H363" s="40"/>
      <c r="I363" s="40"/>
      <c r="J363" s="41"/>
      <c r="K363" s="40"/>
      <c r="N363" s="42"/>
      <c r="V363" s="40"/>
    </row>
    <row r="364" ht="12.75" customHeight="1">
      <c r="H364" s="40"/>
      <c r="I364" s="40"/>
      <c r="J364" s="41"/>
      <c r="K364" s="40"/>
      <c r="N364" s="42"/>
      <c r="V364" s="40"/>
    </row>
    <row r="365" ht="12.75" customHeight="1">
      <c r="H365" s="40"/>
      <c r="I365" s="40"/>
      <c r="J365" s="41"/>
      <c r="K365" s="40"/>
      <c r="N365" s="42"/>
      <c r="V365" s="40"/>
    </row>
    <row r="366" ht="12.75" customHeight="1">
      <c r="H366" s="40"/>
      <c r="I366" s="40"/>
      <c r="J366" s="41"/>
      <c r="K366" s="40"/>
      <c r="N366" s="42"/>
      <c r="V366" s="40"/>
    </row>
    <row r="367" ht="12.75" customHeight="1">
      <c r="H367" s="40"/>
      <c r="I367" s="40"/>
      <c r="J367" s="41"/>
      <c r="K367" s="40"/>
      <c r="N367" s="42"/>
      <c r="V367" s="40"/>
    </row>
    <row r="368" ht="12.75" customHeight="1">
      <c r="H368" s="40"/>
      <c r="I368" s="40"/>
      <c r="J368" s="41"/>
      <c r="K368" s="40"/>
      <c r="N368" s="42"/>
      <c r="V368" s="40"/>
    </row>
    <row r="369" ht="12.75" customHeight="1">
      <c r="H369" s="40"/>
      <c r="I369" s="40"/>
      <c r="J369" s="41"/>
      <c r="K369" s="40"/>
      <c r="N369" s="42"/>
      <c r="V369" s="40"/>
    </row>
    <row r="370" ht="12.75" customHeight="1">
      <c r="H370" s="40"/>
      <c r="I370" s="40"/>
      <c r="J370" s="41"/>
      <c r="K370" s="40"/>
      <c r="N370" s="42"/>
      <c r="V370" s="40"/>
    </row>
    <row r="371" ht="12.75" customHeight="1">
      <c r="H371" s="40"/>
      <c r="I371" s="40"/>
      <c r="J371" s="41"/>
      <c r="K371" s="40"/>
      <c r="N371" s="42"/>
      <c r="V371" s="40"/>
    </row>
    <row r="372" ht="12.75" customHeight="1">
      <c r="H372" s="40"/>
      <c r="I372" s="40"/>
      <c r="J372" s="41"/>
      <c r="K372" s="40"/>
      <c r="N372" s="42"/>
      <c r="V372" s="40"/>
    </row>
    <row r="373" ht="12.75" customHeight="1">
      <c r="H373" s="40"/>
      <c r="I373" s="40"/>
      <c r="J373" s="41"/>
      <c r="K373" s="40"/>
      <c r="N373" s="42"/>
      <c r="V373" s="40"/>
    </row>
    <row r="374" ht="12.75" customHeight="1">
      <c r="H374" s="40"/>
      <c r="I374" s="40"/>
      <c r="J374" s="41"/>
      <c r="K374" s="40"/>
      <c r="N374" s="42"/>
      <c r="V374" s="40"/>
    </row>
    <row r="375" ht="12.75" customHeight="1">
      <c r="H375" s="40"/>
      <c r="I375" s="40"/>
      <c r="J375" s="41"/>
      <c r="K375" s="40"/>
      <c r="N375" s="42"/>
      <c r="V375" s="40"/>
    </row>
    <row r="376" ht="12.75" customHeight="1">
      <c r="H376" s="40"/>
      <c r="I376" s="40"/>
      <c r="J376" s="41"/>
      <c r="K376" s="40"/>
      <c r="N376" s="42"/>
      <c r="V376" s="40"/>
    </row>
    <row r="377" ht="12.75" customHeight="1">
      <c r="H377" s="40"/>
      <c r="I377" s="40"/>
      <c r="J377" s="41"/>
      <c r="K377" s="40"/>
      <c r="N377" s="42"/>
      <c r="V377" s="40"/>
    </row>
    <row r="378" ht="12.75" customHeight="1">
      <c r="H378" s="40"/>
      <c r="I378" s="40"/>
      <c r="J378" s="41"/>
      <c r="K378" s="40"/>
      <c r="N378" s="42"/>
      <c r="V378" s="40"/>
    </row>
    <row r="379" ht="12.75" customHeight="1">
      <c r="H379" s="40"/>
      <c r="I379" s="40"/>
      <c r="J379" s="41"/>
      <c r="K379" s="40"/>
      <c r="N379" s="42"/>
      <c r="V379" s="40"/>
    </row>
    <row r="380" ht="12.75" customHeight="1">
      <c r="H380" s="40"/>
      <c r="I380" s="40"/>
      <c r="J380" s="41"/>
      <c r="K380" s="40"/>
      <c r="N380" s="42"/>
      <c r="V380" s="40"/>
    </row>
    <row r="381" ht="12.75" customHeight="1">
      <c r="H381" s="40"/>
      <c r="I381" s="40"/>
      <c r="J381" s="41"/>
      <c r="K381" s="40"/>
      <c r="N381" s="42"/>
      <c r="V381" s="40"/>
    </row>
    <row r="382" ht="12.75" customHeight="1">
      <c r="H382" s="40"/>
      <c r="I382" s="40"/>
      <c r="J382" s="41"/>
      <c r="K382" s="40"/>
      <c r="N382" s="42"/>
      <c r="V382" s="40"/>
    </row>
    <row r="383" ht="12.75" customHeight="1">
      <c r="H383" s="40"/>
      <c r="I383" s="40"/>
      <c r="J383" s="41"/>
      <c r="K383" s="40"/>
      <c r="N383" s="42"/>
      <c r="V383" s="40"/>
    </row>
    <row r="384" ht="12.75" customHeight="1">
      <c r="H384" s="40"/>
      <c r="I384" s="40"/>
      <c r="J384" s="41"/>
      <c r="K384" s="40"/>
      <c r="N384" s="42"/>
      <c r="V384" s="40"/>
    </row>
    <row r="385" ht="12.75" customHeight="1">
      <c r="H385" s="40"/>
      <c r="I385" s="40"/>
      <c r="J385" s="41"/>
      <c r="K385" s="40"/>
      <c r="N385" s="42"/>
      <c r="V385" s="40"/>
    </row>
    <row r="386" ht="12.75" customHeight="1">
      <c r="H386" s="40"/>
      <c r="I386" s="40"/>
      <c r="J386" s="41"/>
      <c r="K386" s="40"/>
      <c r="N386" s="42"/>
      <c r="V386" s="40"/>
    </row>
    <row r="387" ht="12.75" customHeight="1">
      <c r="H387" s="40"/>
      <c r="I387" s="40"/>
      <c r="J387" s="41"/>
      <c r="K387" s="40"/>
      <c r="N387" s="42"/>
      <c r="V387" s="40"/>
    </row>
    <row r="388" ht="12.75" customHeight="1">
      <c r="H388" s="40"/>
      <c r="I388" s="40"/>
      <c r="J388" s="41"/>
      <c r="K388" s="40"/>
      <c r="N388" s="42"/>
      <c r="V388" s="40"/>
    </row>
    <row r="389" ht="12.75" customHeight="1">
      <c r="H389" s="40"/>
      <c r="I389" s="40"/>
      <c r="J389" s="41"/>
      <c r="K389" s="40"/>
      <c r="N389" s="42"/>
      <c r="V389" s="40"/>
    </row>
    <row r="390" ht="12.75" customHeight="1">
      <c r="H390" s="40"/>
      <c r="I390" s="40"/>
      <c r="J390" s="41"/>
      <c r="K390" s="40"/>
      <c r="N390" s="42"/>
      <c r="V390" s="40"/>
    </row>
    <row r="391" ht="12.75" customHeight="1">
      <c r="H391" s="40"/>
      <c r="I391" s="40"/>
      <c r="J391" s="41"/>
      <c r="K391" s="40"/>
      <c r="N391" s="42"/>
      <c r="V391" s="40"/>
    </row>
    <row r="392" ht="12.75" customHeight="1">
      <c r="H392" s="40"/>
      <c r="I392" s="40"/>
      <c r="J392" s="41"/>
      <c r="K392" s="40"/>
      <c r="N392" s="42"/>
      <c r="V392" s="40"/>
    </row>
    <row r="393" ht="12.75" customHeight="1">
      <c r="H393" s="40"/>
      <c r="I393" s="40"/>
      <c r="J393" s="41"/>
      <c r="K393" s="40"/>
      <c r="N393" s="42"/>
      <c r="V393" s="40"/>
    </row>
    <row r="394" ht="12.75" customHeight="1">
      <c r="H394" s="40"/>
      <c r="I394" s="40"/>
      <c r="J394" s="41"/>
      <c r="K394" s="40"/>
      <c r="N394" s="42"/>
      <c r="V394" s="40"/>
    </row>
    <row r="395" ht="12.75" customHeight="1">
      <c r="H395" s="40"/>
      <c r="I395" s="40"/>
      <c r="J395" s="41"/>
      <c r="K395" s="40"/>
      <c r="N395" s="42"/>
      <c r="V395" s="40"/>
    </row>
    <row r="396" ht="12.75" customHeight="1">
      <c r="H396" s="40"/>
      <c r="I396" s="40"/>
      <c r="J396" s="41"/>
      <c r="K396" s="40"/>
      <c r="N396" s="42"/>
      <c r="V396" s="40"/>
    </row>
    <row r="397" ht="12.75" customHeight="1">
      <c r="H397" s="40"/>
      <c r="I397" s="40"/>
      <c r="J397" s="41"/>
      <c r="K397" s="40"/>
      <c r="N397" s="42"/>
      <c r="V397" s="40"/>
    </row>
    <row r="398" ht="12.75" customHeight="1">
      <c r="H398" s="40"/>
      <c r="I398" s="40"/>
      <c r="J398" s="41"/>
      <c r="K398" s="40"/>
      <c r="N398" s="42"/>
      <c r="V398" s="40"/>
    </row>
    <row r="399" ht="12.75" customHeight="1">
      <c r="H399" s="40"/>
      <c r="I399" s="40"/>
      <c r="J399" s="41"/>
      <c r="K399" s="40"/>
      <c r="N399" s="42"/>
      <c r="V399" s="40"/>
    </row>
    <row r="400" ht="12.75" customHeight="1">
      <c r="H400" s="40"/>
      <c r="I400" s="40"/>
      <c r="J400" s="41"/>
      <c r="K400" s="40"/>
      <c r="N400" s="42"/>
      <c r="V400" s="40"/>
    </row>
    <row r="401" ht="12.75" customHeight="1">
      <c r="H401" s="40"/>
      <c r="I401" s="40"/>
      <c r="J401" s="41"/>
      <c r="K401" s="40"/>
      <c r="N401" s="42"/>
      <c r="V401" s="40"/>
    </row>
    <row r="402" ht="12.75" customHeight="1">
      <c r="H402" s="40"/>
      <c r="I402" s="40"/>
      <c r="J402" s="41"/>
      <c r="K402" s="40"/>
      <c r="N402" s="42"/>
      <c r="V402" s="40"/>
    </row>
    <row r="403" ht="12.75" customHeight="1">
      <c r="H403" s="40"/>
      <c r="I403" s="40"/>
      <c r="J403" s="41"/>
      <c r="K403" s="40"/>
      <c r="N403" s="42"/>
      <c r="V403" s="40"/>
    </row>
    <row r="404" ht="12.75" customHeight="1">
      <c r="H404" s="40"/>
      <c r="I404" s="40"/>
      <c r="J404" s="41"/>
      <c r="K404" s="40"/>
      <c r="N404" s="42"/>
      <c r="V404" s="40"/>
    </row>
    <row r="405" ht="12.75" customHeight="1">
      <c r="H405" s="40"/>
      <c r="I405" s="40"/>
      <c r="J405" s="41"/>
      <c r="K405" s="40"/>
      <c r="N405" s="42"/>
      <c r="V405" s="40"/>
    </row>
    <row r="406" ht="12.75" customHeight="1">
      <c r="H406" s="40"/>
      <c r="I406" s="40"/>
      <c r="J406" s="41"/>
      <c r="K406" s="40"/>
      <c r="N406" s="42"/>
      <c r="V406" s="40"/>
    </row>
    <row r="407" ht="12.75" customHeight="1">
      <c r="H407" s="40"/>
      <c r="I407" s="40"/>
      <c r="J407" s="41"/>
      <c r="K407" s="40"/>
      <c r="N407" s="42"/>
      <c r="V407" s="40"/>
    </row>
    <row r="408" ht="12.75" customHeight="1">
      <c r="H408" s="40"/>
      <c r="I408" s="40"/>
      <c r="J408" s="41"/>
      <c r="K408" s="40"/>
      <c r="N408" s="42"/>
      <c r="V408" s="40"/>
    </row>
    <row r="409" ht="12.75" customHeight="1">
      <c r="H409" s="40"/>
      <c r="I409" s="40"/>
      <c r="J409" s="41"/>
      <c r="K409" s="40"/>
      <c r="N409" s="42"/>
      <c r="V409" s="40"/>
    </row>
    <row r="410" ht="12.75" customHeight="1">
      <c r="H410" s="40"/>
      <c r="I410" s="40"/>
      <c r="J410" s="41"/>
      <c r="K410" s="40"/>
      <c r="N410" s="42"/>
      <c r="V410" s="40"/>
    </row>
    <row r="411" ht="12.75" customHeight="1">
      <c r="H411" s="40"/>
      <c r="I411" s="40"/>
      <c r="J411" s="41"/>
      <c r="K411" s="40"/>
      <c r="N411" s="42"/>
      <c r="V411" s="40"/>
    </row>
    <row r="412" ht="12.75" customHeight="1">
      <c r="H412" s="40"/>
      <c r="I412" s="40"/>
      <c r="J412" s="41"/>
      <c r="K412" s="40"/>
      <c r="N412" s="42"/>
      <c r="V412" s="40"/>
    </row>
    <row r="413" ht="12.75" customHeight="1">
      <c r="H413" s="40"/>
      <c r="I413" s="40"/>
      <c r="J413" s="41"/>
      <c r="K413" s="40"/>
      <c r="N413" s="42"/>
      <c r="V413" s="40"/>
    </row>
    <row r="414" ht="12.75" customHeight="1">
      <c r="H414" s="40"/>
      <c r="I414" s="40"/>
      <c r="J414" s="41"/>
      <c r="K414" s="40"/>
      <c r="N414" s="42"/>
      <c r="V414" s="40"/>
    </row>
    <row r="415" ht="12.75" customHeight="1">
      <c r="H415" s="40"/>
      <c r="I415" s="40"/>
      <c r="J415" s="41"/>
      <c r="K415" s="40"/>
      <c r="N415" s="42"/>
      <c r="V415" s="40"/>
    </row>
    <row r="416" ht="12.75" customHeight="1">
      <c r="H416" s="40"/>
      <c r="I416" s="40"/>
      <c r="J416" s="41"/>
      <c r="K416" s="40"/>
      <c r="N416" s="42"/>
      <c r="V416" s="40"/>
    </row>
    <row r="417" ht="12.75" customHeight="1">
      <c r="H417" s="40"/>
      <c r="I417" s="40"/>
      <c r="J417" s="41"/>
      <c r="K417" s="40"/>
      <c r="N417" s="42"/>
      <c r="V417" s="40"/>
    </row>
    <row r="418" ht="12.75" customHeight="1">
      <c r="H418" s="40"/>
      <c r="I418" s="40"/>
      <c r="J418" s="41"/>
      <c r="K418" s="40"/>
      <c r="N418" s="42"/>
      <c r="V418" s="40"/>
    </row>
    <row r="419" ht="12.75" customHeight="1">
      <c r="H419" s="40"/>
      <c r="I419" s="40"/>
      <c r="J419" s="41"/>
      <c r="K419" s="40"/>
      <c r="N419" s="42"/>
      <c r="V419" s="40"/>
    </row>
    <row r="420" ht="12.75" customHeight="1">
      <c r="H420" s="40"/>
      <c r="I420" s="40"/>
      <c r="J420" s="41"/>
      <c r="K420" s="40"/>
      <c r="N420" s="42"/>
      <c r="V420" s="40"/>
    </row>
    <row r="421" ht="12.75" customHeight="1">
      <c r="H421" s="40"/>
      <c r="I421" s="40"/>
      <c r="J421" s="41"/>
      <c r="K421" s="40"/>
      <c r="N421" s="42"/>
      <c r="V421" s="40"/>
    </row>
    <row r="422" ht="12.75" customHeight="1">
      <c r="H422" s="40"/>
      <c r="I422" s="40"/>
      <c r="J422" s="41"/>
      <c r="K422" s="40"/>
      <c r="N422" s="42"/>
      <c r="V422" s="40"/>
    </row>
    <row r="423" ht="12.75" customHeight="1">
      <c r="H423" s="40"/>
      <c r="I423" s="40"/>
      <c r="J423" s="41"/>
      <c r="K423" s="40"/>
      <c r="N423" s="42"/>
      <c r="V423" s="40"/>
    </row>
    <row r="424" ht="12.75" customHeight="1">
      <c r="H424" s="40"/>
      <c r="I424" s="40"/>
      <c r="J424" s="41"/>
      <c r="K424" s="40"/>
      <c r="N424" s="42"/>
      <c r="V424" s="40"/>
    </row>
    <row r="425" ht="12.75" customHeight="1">
      <c r="H425" s="40"/>
      <c r="I425" s="40"/>
      <c r="J425" s="41"/>
      <c r="K425" s="40"/>
      <c r="N425" s="42"/>
      <c r="V425" s="40"/>
    </row>
    <row r="426" ht="12.75" customHeight="1">
      <c r="H426" s="40"/>
      <c r="I426" s="40"/>
      <c r="J426" s="41"/>
      <c r="K426" s="40"/>
      <c r="N426" s="42"/>
      <c r="V426" s="40"/>
    </row>
    <row r="427" ht="12.75" customHeight="1">
      <c r="H427" s="40"/>
      <c r="I427" s="40"/>
      <c r="J427" s="41"/>
      <c r="K427" s="40"/>
      <c r="N427" s="42"/>
      <c r="V427" s="40"/>
    </row>
    <row r="428" ht="12.75" customHeight="1">
      <c r="H428" s="40"/>
      <c r="I428" s="40"/>
      <c r="J428" s="41"/>
      <c r="K428" s="40"/>
      <c r="N428" s="42"/>
      <c r="V428" s="40"/>
    </row>
    <row r="429" ht="12.75" customHeight="1">
      <c r="H429" s="40"/>
      <c r="I429" s="40"/>
      <c r="J429" s="41"/>
      <c r="K429" s="40"/>
      <c r="N429" s="42"/>
      <c r="V429" s="40"/>
    </row>
    <row r="430" ht="12.75" customHeight="1">
      <c r="H430" s="40"/>
      <c r="I430" s="40"/>
      <c r="J430" s="41"/>
      <c r="K430" s="40"/>
      <c r="N430" s="42"/>
      <c r="V430" s="40"/>
    </row>
    <row r="431" ht="12.75" customHeight="1">
      <c r="H431" s="40"/>
      <c r="I431" s="40"/>
      <c r="J431" s="41"/>
      <c r="K431" s="40"/>
      <c r="N431" s="42"/>
      <c r="V431" s="40"/>
    </row>
    <row r="432" ht="12.75" customHeight="1">
      <c r="H432" s="40"/>
      <c r="I432" s="40"/>
      <c r="J432" s="41"/>
      <c r="K432" s="40"/>
      <c r="N432" s="42"/>
      <c r="V432" s="40"/>
    </row>
    <row r="433" ht="12.75" customHeight="1">
      <c r="H433" s="40"/>
      <c r="I433" s="40"/>
      <c r="J433" s="41"/>
      <c r="K433" s="40"/>
      <c r="N433" s="42"/>
      <c r="V433" s="40"/>
    </row>
    <row r="434" ht="12.75" customHeight="1">
      <c r="H434" s="40"/>
      <c r="I434" s="40"/>
      <c r="J434" s="41"/>
      <c r="K434" s="40"/>
      <c r="N434" s="42"/>
      <c r="V434" s="40"/>
    </row>
    <row r="435" ht="12.75" customHeight="1">
      <c r="H435" s="40"/>
      <c r="I435" s="40"/>
      <c r="J435" s="41"/>
      <c r="K435" s="40"/>
      <c r="N435" s="42"/>
      <c r="V435" s="40"/>
    </row>
    <row r="436" ht="12.75" customHeight="1">
      <c r="H436" s="40"/>
      <c r="I436" s="40"/>
      <c r="J436" s="41"/>
      <c r="K436" s="40"/>
      <c r="N436" s="42"/>
      <c r="V436" s="40"/>
    </row>
    <row r="437" ht="12.75" customHeight="1">
      <c r="H437" s="40"/>
      <c r="I437" s="40"/>
      <c r="J437" s="41"/>
      <c r="K437" s="40"/>
      <c r="N437" s="42"/>
      <c r="V437" s="40"/>
    </row>
    <row r="438" ht="12.75" customHeight="1">
      <c r="H438" s="40"/>
      <c r="I438" s="40"/>
      <c r="J438" s="41"/>
      <c r="K438" s="40"/>
      <c r="N438" s="42"/>
      <c r="V438" s="40"/>
    </row>
    <row r="439" ht="12.75" customHeight="1">
      <c r="H439" s="40"/>
      <c r="I439" s="40"/>
      <c r="J439" s="41"/>
      <c r="K439" s="40"/>
      <c r="N439" s="42"/>
      <c r="V439" s="40"/>
    </row>
    <row r="440" ht="12.75" customHeight="1">
      <c r="H440" s="40"/>
      <c r="I440" s="40"/>
      <c r="J440" s="41"/>
      <c r="K440" s="40"/>
      <c r="N440" s="42"/>
      <c r="V440" s="40"/>
    </row>
    <row r="441" ht="12.75" customHeight="1">
      <c r="H441" s="40"/>
      <c r="I441" s="40"/>
      <c r="J441" s="41"/>
      <c r="K441" s="40"/>
      <c r="N441" s="42"/>
      <c r="V441" s="40"/>
    </row>
    <row r="442" ht="12.75" customHeight="1">
      <c r="H442" s="40"/>
      <c r="I442" s="40"/>
      <c r="J442" s="41"/>
      <c r="K442" s="40"/>
      <c r="N442" s="42"/>
      <c r="V442" s="40"/>
    </row>
    <row r="443" ht="12.75" customHeight="1">
      <c r="H443" s="40"/>
      <c r="I443" s="40"/>
      <c r="J443" s="41"/>
      <c r="K443" s="40"/>
      <c r="N443" s="42"/>
      <c r="V443" s="40"/>
    </row>
    <row r="444" ht="12.75" customHeight="1">
      <c r="H444" s="40"/>
      <c r="I444" s="40"/>
      <c r="J444" s="41"/>
      <c r="K444" s="40"/>
      <c r="N444" s="42"/>
      <c r="V444" s="40"/>
    </row>
    <row r="445" ht="12.75" customHeight="1">
      <c r="H445" s="40"/>
      <c r="I445" s="40"/>
      <c r="J445" s="41"/>
      <c r="K445" s="40"/>
      <c r="N445" s="42"/>
      <c r="V445" s="40"/>
    </row>
    <row r="446" ht="12.75" customHeight="1">
      <c r="H446" s="40"/>
      <c r="I446" s="40"/>
      <c r="J446" s="41"/>
      <c r="K446" s="40"/>
      <c r="N446" s="42"/>
      <c r="V446" s="40"/>
    </row>
    <row r="447" ht="12.75" customHeight="1">
      <c r="H447" s="40"/>
      <c r="I447" s="40"/>
      <c r="J447" s="41"/>
      <c r="K447" s="40"/>
      <c r="N447" s="42"/>
      <c r="V447" s="40"/>
    </row>
    <row r="448" ht="12.75" customHeight="1">
      <c r="H448" s="40"/>
      <c r="I448" s="40"/>
      <c r="J448" s="41"/>
      <c r="K448" s="40"/>
      <c r="N448" s="42"/>
      <c r="V448" s="40"/>
    </row>
    <row r="449" ht="12.75" customHeight="1">
      <c r="H449" s="40"/>
      <c r="I449" s="40"/>
      <c r="J449" s="41"/>
      <c r="K449" s="40"/>
      <c r="N449" s="42"/>
      <c r="V449" s="40"/>
    </row>
    <row r="450" ht="12.75" customHeight="1">
      <c r="H450" s="40"/>
      <c r="I450" s="40"/>
      <c r="J450" s="41"/>
      <c r="K450" s="40"/>
      <c r="N450" s="42"/>
      <c r="V450" s="40"/>
    </row>
    <row r="451" ht="12.75" customHeight="1">
      <c r="H451" s="40"/>
      <c r="I451" s="40"/>
      <c r="J451" s="41"/>
      <c r="K451" s="40"/>
      <c r="N451" s="42"/>
      <c r="V451" s="40"/>
    </row>
    <row r="452" ht="12.75" customHeight="1">
      <c r="H452" s="40"/>
      <c r="I452" s="40"/>
      <c r="J452" s="41"/>
      <c r="K452" s="40"/>
      <c r="N452" s="42"/>
      <c r="V452" s="40"/>
    </row>
    <row r="453" ht="12.75" customHeight="1">
      <c r="H453" s="40"/>
      <c r="I453" s="40"/>
      <c r="J453" s="41"/>
      <c r="K453" s="40"/>
      <c r="N453" s="42"/>
      <c r="V453" s="40"/>
    </row>
    <row r="454" ht="12.75" customHeight="1">
      <c r="H454" s="40"/>
      <c r="I454" s="40"/>
      <c r="J454" s="41"/>
      <c r="K454" s="40"/>
      <c r="N454" s="42"/>
      <c r="V454" s="40"/>
    </row>
    <row r="455" ht="12.75" customHeight="1">
      <c r="H455" s="40"/>
      <c r="I455" s="40"/>
      <c r="J455" s="41"/>
      <c r="K455" s="40"/>
      <c r="N455" s="42"/>
      <c r="V455" s="40"/>
    </row>
    <row r="456" ht="12.75" customHeight="1">
      <c r="H456" s="40"/>
      <c r="I456" s="40"/>
      <c r="J456" s="41"/>
      <c r="K456" s="40"/>
      <c r="N456" s="42"/>
      <c r="V456" s="40"/>
    </row>
    <row r="457" ht="12.75" customHeight="1">
      <c r="H457" s="40"/>
      <c r="I457" s="40"/>
      <c r="J457" s="41"/>
      <c r="K457" s="40"/>
      <c r="N457" s="42"/>
      <c r="V457" s="40"/>
    </row>
    <row r="458" ht="12.75" customHeight="1">
      <c r="H458" s="40"/>
      <c r="I458" s="40"/>
      <c r="J458" s="41"/>
      <c r="K458" s="40"/>
      <c r="N458" s="42"/>
      <c r="V458" s="40"/>
    </row>
    <row r="459" ht="12.75" customHeight="1">
      <c r="H459" s="40"/>
      <c r="I459" s="40"/>
      <c r="J459" s="41"/>
      <c r="K459" s="40"/>
      <c r="N459" s="42"/>
      <c r="V459" s="40"/>
    </row>
    <row r="460" ht="12.75" customHeight="1">
      <c r="H460" s="40"/>
      <c r="I460" s="40"/>
      <c r="J460" s="41"/>
      <c r="K460" s="40"/>
      <c r="N460" s="42"/>
      <c r="V460" s="40"/>
    </row>
    <row r="461" ht="12.75" customHeight="1">
      <c r="H461" s="40"/>
      <c r="I461" s="40"/>
      <c r="J461" s="41"/>
      <c r="K461" s="40"/>
      <c r="N461" s="42"/>
      <c r="V461" s="40"/>
    </row>
    <row r="462" ht="12.75" customHeight="1">
      <c r="H462" s="40"/>
      <c r="I462" s="40"/>
      <c r="J462" s="41"/>
      <c r="K462" s="40"/>
      <c r="N462" s="42"/>
      <c r="V462" s="40"/>
    </row>
    <row r="463" ht="12.75" customHeight="1">
      <c r="H463" s="40"/>
      <c r="I463" s="40"/>
      <c r="J463" s="41"/>
      <c r="K463" s="40"/>
      <c r="N463" s="42"/>
      <c r="V463" s="40"/>
    </row>
    <row r="464" ht="12.75" customHeight="1">
      <c r="H464" s="40"/>
      <c r="I464" s="40"/>
      <c r="J464" s="41"/>
      <c r="K464" s="40"/>
      <c r="N464" s="42"/>
      <c r="V464" s="40"/>
    </row>
    <row r="465" ht="12.75" customHeight="1">
      <c r="H465" s="40"/>
      <c r="I465" s="40"/>
      <c r="J465" s="41"/>
      <c r="K465" s="40"/>
      <c r="N465" s="42"/>
      <c r="V465" s="40"/>
    </row>
    <row r="466" ht="12.75" customHeight="1">
      <c r="H466" s="40"/>
      <c r="I466" s="40"/>
      <c r="J466" s="41"/>
      <c r="K466" s="40"/>
      <c r="N466" s="42"/>
      <c r="V466" s="40"/>
    </row>
    <row r="467" ht="12.75" customHeight="1">
      <c r="H467" s="40"/>
      <c r="I467" s="40"/>
      <c r="J467" s="41"/>
      <c r="K467" s="40"/>
      <c r="N467" s="42"/>
      <c r="V467" s="40"/>
    </row>
    <row r="468" ht="12.75" customHeight="1">
      <c r="H468" s="40"/>
      <c r="I468" s="40"/>
      <c r="J468" s="41"/>
      <c r="K468" s="40"/>
      <c r="N468" s="42"/>
      <c r="V468" s="40"/>
    </row>
    <row r="469" ht="12.75" customHeight="1">
      <c r="H469" s="40"/>
      <c r="I469" s="40"/>
      <c r="J469" s="41"/>
      <c r="K469" s="40"/>
      <c r="N469" s="42"/>
      <c r="V469" s="40"/>
    </row>
    <row r="470" ht="12.75" customHeight="1">
      <c r="H470" s="40"/>
      <c r="I470" s="40"/>
      <c r="J470" s="41"/>
      <c r="K470" s="40"/>
      <c r="N470" s="42"/>
      <c r="V470" s="40"/>
    </row>
    <row r="471" ht="12.75" customHeight="1">
      <c r="H471" s="40"/>
      <c r="I471" s="40"/>
      <c r="J471" s="41"/>
      <c r="K471" s="40"/>
      <c r="N471" s="42"/>
      <c r="V471" s="40"/>
    </row>
    <row r="472" ht="12.75" customHeight="1">
      <c r="H472" s="40"/>
      <c r="I472" s="40"/>
      <c r="J472" s="41"/>
      <c r="K472" s="40"/>
      <c r="N472" s="42"/>
      <c r="V472" s="40"/>
    </row>
    <row r="473" ht="12.75" customHeight="1">
      <c r="H473" s="40"/>
      <c r="I473" s="40"/>
      <c r="J473" s="41"/>
      <c r="K473" s="40"/>
      <c r="N473" s="42"/>
      <c r="V473" s="40"/>
    </row>
    <row r="474" ht="12.75" customHeight="1">
      <c r="H474" s="40"/>
      <c r="I474" s="40"/>
      <c r="J474" s="41"/>
      <c r="K474" s="40"/>
      <c r="N474" s="42"/>
      <c r="V474" s="40"/>
    </row>
    <row r="475" ht="12.75" customHeight="1">
      <c r="H475" s="40"/>
      <c r="I475" s="40"/>
      <c r="J475" s="41"/>
      <c r="K475" s="40"/>
      <c r="N475" s="42"/>
      <c r="V475" s="40"/>
    </row>
    <row r="476" ht="12.75" customHeight="1">
      <c r="H476" s="40"/>
      <c r="I476" s="40"/>
      <c r="J476" s="41"/>
      <c r="K476" s="40"/>
      <c r="N476" s="42"/>
      <c r="V476" s="40"/>
    </row>
    <row r="477" ht="12.75" customHeight="1">
      <c r="H477" s="40"/>
      <c r="I477" s="40"/>
      <c r="J477" s="41"/>
      <c r="K477" s="40"/>
      <c r="N477" s="42"/>
      <c r="V477" s="40"/>
    </row>
    <row r="478" ht="12.75" customHeight="1">
      <c r="H478" s="40"/>
      <c r="I478" s="40"/>
      <c r="J478" s="41"/>
      <c r="K478" s="40"/>
      <c r="N478" s="42"/>
      <c r="V478" s="40"/>
    </row>
    <row r="479" ht="12.75" customHeight="1">
      <c r="H479" s="40"/>
      <c r="I479" s="40"/>
      <c r="J479" s="41"/>
      <c r="K479" s="40"/>
      <c r="N479" s="42"/>
      <c r="V479" s="40"/>
    </row>
    <row r="480" ht="12.75" customHeight="1">
      <c r="H480" s="40"/>
      <c r="I480" s="40"/>
      <c r="J480" s="41"/>
      <c r="K480" s="40"/>
      <c r="N480" s="42"/>
      <c r="V480" s="40"/>
    </row>
    <row r="481" ht="12.75" customHeight="1">
      <c r="H481" s="40"/>
      <c r="I481" s="40"/>
      <c r="J481" s="41"/>
      <c r="K481" s="40"/>
      <c r="N481" s="42"/>
      <c r="V481" s="40"/>
    </row>
    <row r="482" ht="12.75" customHeight="1">
      <c r="H482" s="40"/>
      <c r="I482" s="40"/>
      <c r="J482" s="41"/>
      <c r="K482" s="40"/>
      <c r="N482" s="42"/>
      <c r="V482" s="40"/>
    </row>
    <row r="483" ht="12.75" customHeight="1">
      <c r="H483" s="40"/>
      <c r="I483" s="40"/>
      <c r="J483" s="41"/>
      <c r="K483" s="40"/>
      <c r="N483" s="42"/>
      <c r="V483" s="40"/>
    </row>
    <row r="484" ht="12.75" customHeight="1">
      <c r="H484" s="40"/>
      <c r="I484" s="40"/>
      <c r="J484" s="41"/>
      <c r="K484" s="40"/>
      <c r="N484" s="42"/>
      <c r="V484" s="40"/>
    </row>
    <row r="485" ht="12.75" customHeight="1">
      <c r="H485" s="40"/>
      <c r="I485" s="40"/>
      <c r="J485" s="41"/>
      <c r="K485" s="40"/>
      <c r="N485" s="42"/>
      <c r="V485" s="40"/>
    </row>
    <row r="486" ht="12.75" customHeight="1">
      <c r="H486" s="40"/>
      <c r="I486" s="40"/>
      <c r="J486" s="41"/>
      <c r="K486" s="40"/>
      <c r="N486" s="42"/>
      <c r="V486" s="40"/>
    </row>
    <row r="487" ht="12.75" customHeight="1">
      <c r="H487" s="40"/>
      <c r="I487" s="40"/>
      <c r="J487" s="41"/>
      <c r="K487" s="40"/>
      <c r="N487" s="42"/>
      <c r="V487" s="40"/>
    </row>
    <row r="488" ht="12.75" customHeight="1">
      <c r="H488" s="40"/>
      <c r="I488" s="40"/>
      <c r="J488" s="41"/>
      <c r="K488" s="40"/>
      <c r="N488" s="42"/>
      <c r="V488" s="40"/>
    </row>
    <row r="489" ht="12.75" customHeight="1">
      <c r="H489" s="40"/>
      <c r="I489" s="40"/>
      <c r="J489" s="41"/>
      <c r="K489" s="40"/>
      <c r="N489" s="42"/>
      <c r="V489" s="40"/>
    </row>
    <row r="490" ht="12.75" customHeight="1">
      <c r="H490" s="40"/>
      <c r="I490" s="40"/>
      <c r="J490" s="41"/>
      <c r="K490" s="40"/>
      <c r="N490" s="42"/>
      <c r="V490" s="40"/>
    </row>
    <row r="491" ht="12.75" customHeight="1">
      <c r="H491" s="40"/>
      <c r="I491" s="40"/>
      <c r="J491" s="41"/>
      <c r="K491" s="40"/>
      <c r="N491" s="42"/>
      <c r="V491" s="40"/>
    </row>
    <row r="492" ht="12.75" customHeight="1">
      <c r="H492" s="40"/>
      <c r="I492" s="40"/>
      <c r="J492" s="41"/>
      <c r="K492" s="40"/>
      <c r="N492" s="42"/>
      <c r="V492" s="40"/>
    </row>
    <row r="493" ht="12.75" customHeight="1">
      <c r="H493" s="40"/>
      <c r="I493" s="40"/>
      <c r="J493" s="41"/>
      <c r="K493" s="40"/>
      <c r="N493" s="42"/>
      <c r="V493" s="40"/>
    </row>
    <row r="494" ht="12.75" customHeight="1">
      <c r="H494" s="40"/>
      <c r="I494" s="40"/>
      <c r="J494" s="41"/>
      <c r="K494" s="40"/>
      <c r="N494" s="42"/>
      <c r="V494" s="40"/>
    </row>
    <row r="495" ht="12.75" customHeight="1">
      <c r="H495" s="40"/>
      <c r="I495" s="40"/>
      <c r="J495" s="41"/>
      <c r="K495" s="40"/>
      <c r="N495" s="42"/>
      <c r="V495" s="40"/>
    </row>
    <row r="496" ht="12.75" customHeight="1">
      <c r="H496" s="40"/>
      <c r="I496" s="40"/>
      <c r="J496" s="41"/>
      <c r="K496" s="40"/>
      <c r="N496" s="42"/>
      <c r="V496" s="40"/>
    </row>
    <row r="497" ht="12.75" customHeight="1">
      <c r="H497" s="40"/>
      <c r="I497" s="40"/>
      <c r="J497" s="41"/>
      <c r="K497" s="40"/>
      <c r="N497" s="42"/>
      <c r="V497" s="40"/>
    </row>
    <row r="498" ht="12.75" customHeight="1">
      <c r="H498" s="40"/>
      <c r="I498" s="40"/>
      <c r="J498" s="41"/>
      <c r="K498" s="40"/>
      <c r="N498" s="42"/>
      <c r="V498" s="40"/>
    </row>
    <row r="499" ht="12.75" customHeight="1">
      <c r="H499" s="40"/>
      <c r="I499" s="40"/>
      <c r="J499" s="41"/>
      <c r="K499" s="40"/>
      <c r="N499" s="42"/>
      <c r="V499" s="40"/>
    </row>
    <row r="500" ht="12.75" customHeight="1">
      <c r="H500" s="40"/>
      <c r="I500" s="40"/>
      <c r="J500" s="41"/>
      <c r="K500" s="40"/>
      <c r="N500" s="42"/>
      <c r="V500" s="40"/>
    </row>
    <row r="501" ht="12.75" customHeight="1">
      <c r="H501" s="40"/>
      <c r="I501" s="40"/>
      <c r="J501" s="41"/>
      <c r="K501" s="40"/>
      <c r="N501" s="42"/>
      <c r="V501" s="40"/>
    </row>
    <row r="502" ht="12.75" customHeight="1">
      <c r="H502" s="40"/>
      <c r="I502" s="40"/>
      <c r="J502" s="41"/>
      <c r="K502" s="40"/>
      <c r="N502" s="42"/>
      <c r="V502" s="40"/>
    </row>
    <row r="503" ht="12.75" customHeight="1">
      <c r="H503" s="40"/>
      <c r="I503" s="40"/>
      <c r="J503" s="41"/>
      <c r="K503" s="40"/>
      <c r="N503" s="42"/>
      <c r="V503" s="40"/>
    </row>
    <row r="504" ht="12.75" customHeight="1">
      <c r="H504" s="40"/>
      <c r="I504" s="40"/>
      <c r="J504" s="41"/>
      <c r="K504" s="40"/>
      <c r="N504" s="42"/>
      <c r="V504" s="40"/>
    </row>
    <row r="505" ht="12.75" customHeight="1">
      <c r="H505" s="40"/>
      <c r="I505" s="40"/>
      <c r="J505" s="41"/>
      <c r="K505" s="40"/>
      <c r="N505" s="42"/>
      <c r="V505" s="40"/>
    </row>
    <row r="506" ht="12.75" customHeight="1">
      <c r="H506" s="40"/>
      <c r="I506" s="40"/>
      <c r="J506" s="41"/>
      <c r="K506" s="40"/>
      <c r="N506" s="42"/>
      <c r="V506" s="40"/>
    </row>
    <row r="507" ht="12.75" customHeight="1">
      <c r="H507" s="40"/>
      <c r="I507" s="40"/>
      <c r="J507" s="41"/>
      <c r="K507" s="40"/>
      <c r="N507" s="42"/>
      <c r="V507" s="40"/>
    </row>
    <row r="508" ht="12.75" customHeight="1">
      <c r="H508" s="40"/>
      <c r="I508" s="40"/>
      <c r="J508" s="41"/>
      <c r="K508" s="40"/>
      <c r="N508" s="42"/>
      <c r="V508" s="40"/>
    </row>
    <row r="509" ht="12.75" customHeight="1">
      <c r="H509" s="40"/>
      <c r="I509" s="40"/>
      <c r="J509" s="41"/>
      <c r="K509" s="40"/>
      <c r="N509" s="42"/>
      <c r="V509" s="40"/>
    </row>
    <row r="510" ht="12.75" customHeight="1">
      <c r="H510" s="40"/>
      <c r="I510" s="40"/>
      <c r="J510" s="41"/>
      <c r="K510" s="40"/>
      <c r="N510" s="42"/>
      <c r="V510" s="40"/>
    </row>
    <row r="511" ht="12.75" customHeight="1">
      <c r="H511" s="40"/>
      <c r="I511" s="40"/>
      <c r="J511" s="41"/>
      <c r="K511" s="40"/>
      <c r="N511" s="42"/>
      <c r="V511" s="40"/>
    </row>
    <row r="512" ht="12.75" customHeight="1">
      <c r="H512" s="40"/>
      <c r="I512" s="40"/>
      <c r="J512" s="41"/>
      <c r="K512" s="40"/>
      <c r="N512" s="42"/>
      <c r="V512" s="40"/>
    </row>
    <row r="513" ht="12.75" customHeight="1">
      <c r="H513" s="40"/>
      <c r="I513" s="40"/>
      <c r="J513" s="41"/>
      <c r="K513" s="40"/>
      <c r="N513" s="42"/>
      <c r="V513" s="40"/>
    </row>
    <row r="514" ht="12.75" customHeight="1">
      <c r="H514" s="40"/>
      <c r="I514" s="40"/>
      <c r="J514" s="41"/>
      <c r="K514" s="40"/>
      <c r="N514" s="42"/>
      <c r="V514" s="40"/>
    </row>
    <row r="515" ht="12.75" customHeight="1">
      <c r="H515" s="40"/>
      <c r="I515" s="40"/>
      <c r="J515" s="41"/>
      <c r="K515" s="40"/>
      <c r="N515" s="42"/>
      <c r="V515" s="40"/>
    </row>
    <row r="516" ht="12.75" customHeight="1">
      <c r="H516" s="40"/>
      <c r="I516" s="40"/>
      <c r="J516" s="41"/>
      <c r="K516" s="40"/>
      <c r="N516" s="42"/>
      <c r="V516" s="40"/>
    </row>
    <row r="517" ht="12.75" customHeight="1">
      <c r="H517" s="40"/>
      <c r="I517" s="40"/>
      <c r="J517" s="41"/>
      <c r="K517" s="40"/>
      <c r="N517" s="42"/>
      <c r="V517" s="40"/>
    </row>
    <row r="518" ht="12.75" customHeight="1">
      <c r="H518" s="40"/>
      <c r="I518" s="40"/>
      <c r="J518" s="41"/>
      <c r="K518" s="40"/>
      <c r="N518" s="42"/>
      <c r="V518" s="40"/>
    </row>
    <row r="519" ht="12.75" customHeight="1">
      <c r="H519" s="40"/>
      <c r="I519" s="40"/>
      <c r="J519" s="41"/>
      <c r="K519" s="40"/>
      <c r="N519" s="42"/>
      <c r="V519" s="40"/>
    </row>
    <row r="520" ht="12.75" customHeight="1">
      <c r="H520" s="40"/>
      <c r="I520" s="40"/>
      <c r="J520" s="41"/>
      <c r="K520" s="40"/>
      <c r="N520" s="42"/>
      <c r="V520" s="40"/>
    </row>
    <row r="521" ht="12.75" customHeight="1">
      <c r="H521" s="40"/>
      <c r="I521" s="40"/>
      <c r="J521" s="41"/>
      <c r="K521" s="40"/>
      <c r="N521" s="42"/>
      <c r="V521" s="40"/>
    </row>
    <row r="522" ht="12.75" customHeight="1">
      <c r="H522" s="40"/>
      <c r="I522" s="40"/>
      <c r="J522" s="41"/>
      <c r="K522" s="40"/>
      <c r="N522" s="42"/>
      <c r="V522" s="40"/>
    </row>
    <row r="523" ht="12.75" customHeight="1">
      <c r="H523" s="40"/>
      <c r="I523" s="40"/>
      <c r="J523" s="41"/>
      <c r="K523" s="40"/>
      <c r="N523" s="42"/>
      <c r="V523" s="40"/>
    </row>
    <row r="524" ht="12.75" customHeight="1">
      <c r="H524" s="40"/>
      <c r="I524" s="40"/>
      <c r="J524" s="41"/>
      <c r="K524" s="40"/>
      <c r="N524" s="42"/>
      <c r="V524" s="40"/>
    </row>
    <row r="525" ht="12.75" customHeight="1">
      <c r="H525" s="40"/>
      <c r="I525" s="40"/>
      <c r="J525" s="41"/>
      <c r="K525" s="40"/>
      <c r="N525" s="42"/>
      <c r="V525" s="40"/>
    </row>
    <row r="526" ht="12.75" customHeight="1">
      <c r="H526" s="40"/>
      <c r="I526" s="40"/>
      <c r="J526" s="41"/>
      <c r="K526" s="40"/>
      <c r="N526" s="42"/>
      <c r="V526" s="40"/>
    </row>
    <row r="527" ht="12.75" customHeight="1">
      <c r="H527" s="40"/>
      <c r="I527" s="40"/>
      <c r="J527" s="41"/>
      <c r="K527" s="40"/>
      <c r="N527" s="42"/>
      <c r="V527" s="40"/>
    </row>
    <row r="528" ht="12.75" customHeight="1">
      <c r="H528" s="40"/>
      <c r="I528" s="40"/>
      <c r="J528" s="41"/>
      <c r="K528" s="40"/>
      <c r="N528" s="42"/>
      <c r="V528" s="40"/>
    </row>
    <row r="529" ht="12.75" customHeight="1">
      <c r="H529" s="40"/>
      <c r="I529" s="40"/>
      <c r="J529" s="41"/>
      <c r="K529" s="40"/>
      <c r="N529" s="42"/>
      <c r="V529" s="40"/>
    </row>
    <row r="530" ht="12.75" customHeight="1">
      <c r="H530" s="40"/>
      <c r="I530" s="40"/>
      <c r="J530" s="41"/>
      <c r="K530" s="40"/>
      <c r="N530" s="42"/>
      <c r="V530" s="40"/>
    </row>
    <row r="531" ht="12.75" customHeight="1">
      <c r="H531" s="40"/>
      <c r="I531" s="40"/>
      <c r="J531" s="41"/>
      <c r="K531" s="40"/>
      <c r="N531" s="42"/>
      <c r="V531" s="40"/>
    </row>
    <row r="532" ht="12.75" customHeight="1">
      <c r="H532" s="40"/>
      <c r="I532" s="40"/>
      <c r="J532" s="41"/>
      <c r="K532" s="40"/>
      <c r="N532" s="42"/>
      <c r="V532" s="40"/>
    </row>
    <row r="533" ht="12.75" customHeight="1">
      <c r="H533" s="40"/>
      <c r="I533" s="40"/>
      <c r="J533" s="41"/>
      <c r="K533" s="40"/>
      <c r="N533" s="42"/>
      <c r="V533" s="40"/>
    </row>
    <row r="534" ht="12.75" customHeight="1">
      <c r="H534" s="40"/>
      <c r="I534" s="40"/>
      <c r="J534" s="41"/>
      <c r="K534" s="40"/>
      <c r="N534" s="42"/>
      <c r="V534" s="40"/>
    </row>
    <row r="535" ht="12.75" customHeight="1">
      <c r="H535" s="40"/>
      <c r="I535" s="40"/>
      <c r="J535" s="41"/>
      <c r="K535" s="40"/>
      <c r="N535" s="42"/>
      <c r="V535" s="40"/>
    </row>
    <row r="536" ht="12.75" customHeight="1">
      <c r="H536" s="40"/>
      <c r="I536" s="40"/>
      <c r="J536" s="41"/>
      <c r="K536" s="40"/>
      <c r="N536" s="42"/>
      <c r="V536" s="40"/>
    </row>
    <row r="537" ht="12.75" customHeight="1">
      <c r="H537" s="40"/>
      <c r="I537" s="40"/>
      <c r="J537" s="41"/>
      <c r="K537" s="40"/>
      <c r="N537" s="42"/>
      <c r="V537" s="40"/>
    </row>
    <row r="538" ht="12.75" customHeight="1">
      <c r="H538" s="40"/>
      <c r="I538" s="40"/>
      <c r="J538" s="41"/>
      <c r="K538" s="40"/>
      <c r="N538" s="42"/>
      <c r="V538" s="40"/>
    </row>
    <row r="539" ht="12.75" customHeight="1">
      <c r="H539" s="40"/>
      <c r="I539" s="40"/>
      <c r="J539" s="41"/>
      <c r="K539" s="40"/>
      <c r="N539" s="42"/>
      <c r="V539" s="40"/>
    </row>
    <row r="540" ht="12.75" customHeight="1">
      <c r="H540" s="40"/>
      <c r="I540" s="40"/>
      <c r="J540" s="41"/>
      <c r="K540" s="40"/>
      <c r="N540" s="42"/>
      <c r="V540" s="40"/>
    </row>
    <row r="541" ht="12.75" customHeight="1">
      <c r="H541" s="40"/>
      <c r="I541" s="40"/>
      <c r="J541" s="41"/>
      <c r="K541" s="40"/>
      <c r="N541" s="42"/>
      <c r="V541" s="40"/>
    </row>
    <row r="542" ht="12.75" customHeight="1">
      <c r="H542" s="40"/>
      <c r="I542" s="40"/>
      <c r="J542" s="41"/>
      <c r="K542" s="40"/>
      <c r="N542" s="42"/>
      <c r="V542" s="40"/>
    </row>
    <row r="543" ht="12.75" customHeight="1">
      <c r="H543" s="40"/>
      <c r="I543" s="40"/>
      <c r="J543" s="41"/>
      <c r="K543" s="40"/>
      <c r="N543" s="42"/>
      <c r="V543" s="40"/>
    </row>
    <row r="544" ht="12.75" customHeight="1">
      <c r="H544" s="40"/>
      <c r="I544" s="40"/>
      <c r="J544" s="41"/>
      <c r="K544" s="40"/>
      <c r="N544" s="42"/>
      <c r="V544" s="40"/>
    </row>
    <row r="545" ht="12.75" customHeight="1">
      <c r="H545" s="40"/>
      <c r="I545" s="40"/>
      <c r="J545" s="41"/>
      <c r="K545" s="40"/>
      <c r="N545" s="42"/>
      <c r="V545" s="40"/>
    </row>
    <row r="546" ht="12.75" customHeight="1">
      <c r="H546" s="40"/>
      <c r="I546" s="40"/>
      <c r="J546" s="41"/>
      <c r="K546" s="40"/>
      <c r="N546" s="42"/>
      <c r="V546" s="40"/>
    </row>
    <row r="547" ht="12.75" customHeight="1">
      <c r="H547" s="40"/>
      <c r="I547" s="40"/>
      <c r="J547" s="41"/>
      <c r="K547" s="40"/>
      <c r="N547" s="42"/>
      <c r="V547" s="40"/>
    </row>
    <row r="548" ht="12.75" customHeight="1">
      <c r="H548" s="40"/>
      <c r="I548" s="40"/>
      <c r="J548" s="41"/>
      <c r="K548" s="40"/>
      <c r="N548" s="42"/>
      <c r="V548" s="40"/>
    </row>
    <row r="549" ht="12.75" customHeight="1">
      <c r="H549" s="40"/>
      <c r="I549" s="40"/>
      <c r="J549" s="41"/>
      <c r="K549" s="40"/>
      <c r="N549" s="42"/>
      <c r="V549" s="40"/>
    </row>
    <row r="550" ht="12.75" customHeight="1">
      <c r="H550" s="40"/>
      <c r="I550" s="40"/>
      <c r="J550" s="41"/>
      <c r="K550" s="40"/>
      <c r="N550" s="42"/>
      <c r="V550" s="40"/>
    </row>
    <row r="551" ht="12.75" customHeight="1">
      <c r="H551" s="40"/>
      <c r="I551" s="40"/>
      <c r="J551" s="41"/>
      <c r="K551" s="40"/>
      <c r="N551" s="42"/>
      <c r="V551" s="40"/>
    </row>
    <row r="552" ht="12.75" customHeight="1">
      <c r="H552" s="40"/>
      <c r="I552" s="40"/>
      <c r="J552" s="41"/>
      <c r="K552" s="40"/>
      <c r="N552" s="42"/>
      <c r="V552" s="40"/>
    </row>
    <row r="553" ht="12.75" customHeight="1">
      <c r="H553" s="40"/>
      <c r="I553" s="40"/>
      <c r="J553" s="41"/>
      <c r="K553" s="40"/>
      <c r="N553" s="42"/>
      <c r="V553" s="40"/>
    </row>
    <row r="554" ht="12.75" customHeight="1">
      <c r="H554" s="40"/>
      <c r="I554" s="40"/>
      <c r="J554" s="41"/>
      <c r="K554" s="40"/>
      <c r="N554" s="42"/>
      <c r="V554" s="40"/>
    </row>
    <row r="555" ht="12.75" customHeight="1">
      <c r="H555" s="40"/>
      <c r="I555" s="40"/>
      <c r="J555" s="41"/>
      <c r="K555" s="40"/>
      <c r="N555" s="42"/>
      <c r="V555" s="40"/>
    </row>
    <row r="556" ht="12.75" customHeight="1">
      <c r="H556" s="40"/>
      <c r="I556" s="40"/>
      <c r="J556" s="41"/>
      <c r="K556" s="40"/>
      <c r="N556" s="42"/>
      <c r="V556" s="40"/>
    </row>
    <row r="557" ht="12.75" customHeight="1">
      <c r="H557" s="40"/>
      <c r="I557" s="40"/>
      <c r="J557" s="41"/>
      <c r="K557" s="40"/>
      <c r="N557" s="42"/>
      <c r="V557" s="40"/>
    </row>
    <row r="558" ht="12.75" customHeight="1">
      <c r="H558" s="40"/>
      <c r="I558" s="40"/>
      <c r="J558" s="41"/>
      <c r="K558" s="40"/>
      <c r="N558" s="42"/>
      <c r="V558" s="40"/>
    </row>
    <row r="559" ht="12.75" customHeight="1">
      <c r="H559" s="40"/>
      <c r="I559" s="40"/>
      <c r="J559" s="41"/>
      <c r="K559" s="40"/>
      <c r="N559" s="42"/>
      <c r="V559" s="40"/>
    </row>
    <row r="560" ht="12.75" customHeight="1">
      <c r="H560" s="40"/>
      <c r="I560" s="40"/>
      <c r="J560" s="41"/>
      <c r="K560" s="40"/>
      <c r="N560" s="42"/>
      <c r="V560" s="40"/>
    </row>
    <row r="561" ht="12.75" customHeight="1">
      <c r="H561" s="40"/>
      <c r="I561" s="40"/>
      <c r="J561" s="41"/>
      <c r="K561" s="40"/>
      <c r="N561" s="42"/>
      <c r="V561" s="40"/>
    </row>
    <row r="562" ht="12.75" customHeight="1">
      <c r="H562" s="40"/>
      <c r="I562" s="40"/>
      <c r="J562" s="41"/>
      <c r="K562" s="40"/>
      <c r="N562" s="42"/>
      <c r="V562" s="40"/>
    </row>
    <row r="563" ht="12.75" customHeight="1">
      <c r="H563" s="40"/>
      <c r="I563" s="40"/>
      <c r="J563" s="41"/>
      <c r="K563" s="40"/>
      <c r="N563" s="42"/>
      <c r="V563" s="40"/>
    </row>
    <row r="564" ht="12.75" customHeight="1">
      <c r="H564" s="40"/>
      <c r="I564" s="40"/>
      <c r="J564" s="41"/>
      <c r="K564" s="40"/>
      <c r="N564" s="42"/>
      <c r="V564" s="40"/>
    </row>
    <row r="565" ht="12.75" customHeight="1">
      <c r="H565" s="40"/>
      <c r="I565" s="40"/>
      <c r="J565" s="41"/>
      <c r="K565" s="40"/>
      <c r="N565" s="42"/>
      <c r="V565" s="40"/>
    </row>
    <row r="566" ht="12.75" customHeight="1">
      <c r="H566" s="40"/>
      <c r="I566" s="40"/>
      <c r="J566" s="41"/>
      <c r="K566" s="40"/>
      <c r="N566" s="42"/>
      <c r="V566" s="40"/>
    </row>
    <row r="567" ht="12.75" customHeight="1">
      <c r="H567" s="40"/>
      <c r="I567" s="40"/>
      <c r="J567" s="41"/>
      <c r="K567" s="40"/>
      <c r="N567" s="42"/>
      <c r="V567" s="40"/>
    </row>
    <row r="568" ht="12.75" customHeight="1">
      <c r="H568" s="40"/>
      <c r="I568" s="40"/>
      <c r="J568" s="41"/>
      <c r="K568" s="40"/>
      <c r="N568" s="42"/>
      <c r="V568" s="40"/>
    </row>
    <row r="569" ht="12.75" customHeight="1">
      <c r="H569" s="40"/>
      <c r="I569" s="40"/>
      <c r="J569" s="41"/>
      <c r="K569" s="40"/>
      <c r="N569" s="42"/>
      <c r="V569" s="40"/>
    </row>
    <row r="570" ht="12.75" customHeight="1">
      <c r="H570" s="40"/>
      <c r="I570" s="40"/>
      <c r="J570" s="41"/>
      <c r="K570" s="40"/>
      <c r="N570" s="42"/>
      <c r="V570" s="40"/>
    </row>
    <row r="571" ht="12.75" customHeight="1">
      <c r="H571" s="40"/>
      <c r="I571" s="40"/>
      <c r="J571" s="41"/>
      <c r="K571" s="40"/>
      <c r="N571" s="42"/>
      <c r="V571" s="40"/>
    </row>
    <row r="572" ht="12.75" customHeight="1">
      <c r="H572" s="40"/>
      <c r="I572" s="40"/>
      <c r="J572" s="41"/>
      <c r="K572" s="40"/>
      <c r="N572" s="42"/>
      <c r="V572" s="40"/>
    </row>
    <row r="573" ht="12.75" customHeight="1">
      <c r="H573" s="40"/>
      <c r="I573" s="40"/>
      <c r="J573" s="41"/>
      <c r="K573" s="40"/>
      <c r="N573" s="42"/>
      <c r="V573" s="40"/>
    </row>
    <row r="574" ht="12.75" customHeight="1">
      <c r="H574" s="40"/>
      <c r="I574" s="40"/>
      <c r="J574" s="41"/>
      <c r="K574" s="40"/>
      <c r="N574" s="42"/>
      <c r="V574" s="40"/>
    </row>
    <row r="575" ht="12.75" customHeight="1">
      <c r="H575" s="40"/>
      <c r="I575" s="40"/>
      <c r="J575" s="41"/>
      <c r="K575" s="40"/>
      <c r="N575" s="42"/>
      <c r="V575" s="40"/>
    </row>
    <row r="576" ht="12.75" customHeight="1">
      <c r="H576" s="40"/>
      <c r="I576" s="40"/>
      <c r="J576" s="41"/>
      <c r="K576" s="40"/>
      <c r="N576" s="42"/>
      <c r="V576" s="40"/>
    </row>
    <row r="577" ht="12.75" customHeight="1">
      <c r="H577" s="40"/>
      <c r="I577" s="40"/>
      <c r="J577" s="41"/>
      <c r="K577" s="40"/>
      <c r="N577" s="42"/>
      <c r="V577" s="40"/>
    </row>
    <row r="578" ht="12.75" customHeight="1">
      <c r="H578" s="40"/>
      <c r="I578" s="40"/>
      <c r="J578" s="41"/>
      <c r="K578" s="40"/>
      <c r="N578" s="42"/>
      <c r="V578" s="40"/>
    </row>
    <row r="579" ht="12.75" customHeight="1">
      <c r="H579" s="40"/>
      <c r="I579" s="40"/>
      <c r="J579" s="41"/>
      <c r="K579" s="40"/>
      <c r="N579" s="42"/>
      <c r="V579" s="40"/>
    </row>
    <row r="580" ht="12.75" customHeight="1">
      <c r="H580" s="40"/>
      <c r="I580" s="40"/>
      <c r="J580" s="41"/>
      <c r="K580" s="40"/>
      <c r="N580" s="42"/>
      <c r="V580" s="40"/>
    </row>
    <row r="581" ht="12.75" customHeight="1">
      <c r="H581" s="40"/>
      <c r="I581" s="40"/>
      <c r="J581" s="41"/>
      <c r="K581" s="40"/>
      <c r="N581" s="42"/>
      <c r="V581" s="40"/>
    </row>
    <row r="582" ht="12.75" customHeight="1">
      <c r="H582" s="40"/>
      <c r="I582" s="40"/>
      <c r="J582" s="41"/>
      <c r="K582" s="40"/>
      <c r="N582" s="42"/>
      <c r="V582" s="40"/>
    </row>
    <row r="583" ht="12.75" customHeight="1">
      <c r="H583" s="40"/>
      <c r="I583" s="40"/>
      <c r="J583" s="41"/>
      <c r="K583" s="40"/>
      <c r="N583" s="42"/>
      <c r="V583" s="40"/>
    </row>
    <row r="584" ht="12.75" customHeight="1">
      <c r="H584" s="40"/>
      <c r="I584" s="40"/>
      <c r="J584" s="41"/>
      <c r="K584" s="40"/>
      <c r="N584" s="42"/>
      <c r="V584" s="40"/>
    </row>
    <row r="585" ht="12.75" customHeight="1">
      <c r="H585" s="40"/>
      <c r="I585" s="40"/>
      <c r="J585" s="41"/>
      <c r="K585" s="40"/>
      <c r="N585" s="42"/>
      <c r="V585" s="40"/>
    </row>
    <row r="586" ht="12.75" customHeight="1">
      <c r="H586" s="40"/>
      <c r="I586" s="40"/>
      <c r="J586" s="41"/>
      <c r="K586" s="40"/>
      <c r="N586" s="42"/>
      <c r="V586" s="40"/>
    </row>
    <row r="587" ht="12.75" customHeight="1">
      <c r="H587" s="40"/>
      <c r="I587" s="40"/>
      <c r="J587" s="41"/>
      <c r="K587" s="40"/>
      <c r="N587" s="42"/>
      <c r="V587" s="40"/>
    </row>
    <row r="588" ht="12.75" customHeight="1">
      <c r="H588" s="40"/>
      <c r="I588" s="40"/>
      <c r="J588" s="41"/>
      <c r="K588" s="40"/>
      <c r="N588" s="42"/>
      <c r="V588" s="40"/>
    </row>
    <row r="589" ht="12.75" customHeight="1">
      <c r="H589" s="40"/>
      <c r="I589" s="40"/>
      <c r="J589" s="41"/>
      <c r="K589" s="40"/>
      <c r="N589" s="42"/>
      <c r="V589" s="40"/>
    </row>
    <row r="590" ht="12.75" customHeight="1">
      <c r="H590" s="40"/>
      <c r="I590" s="40"/>
      <c r="J590" s="41"/>
      <c r="K590" s="40"/>
      <c r="N590" s="42"/>
      <c r="V590" s="40"/>
    </row>
    <row r="591" ht="12.75" customHeight="1">
      <c r="H591" s="40"/>
      <c r="I591" s="40"/>
      <c r="J591" s="41"/>
      <c r="K591" s="40"/>
      <c r="N591" s="42"/>
      <c r="V591" s="40"/>
    </row>
    <row r="592" ht="12.75" customHeight="1">
      <c r="H592" s="40"/>
      <c r="I592" s="40"/>
      <c r="J592" s="41"/>
      <c r="K592" s="40"/>
      <c r="N592" s="42"/>
      <c r="V592" s="40"/>
    </row>
    <row r="593" ht="12.75" customHeight="1">
      <c r="H593" s="40"/>
      <c r="I593" s="40"/>
      <c r="J593" s="41"/>
      <c r="K593" s="40"/>
      <c r="N593" s="42"/>
      <c r="V593" s="40"/>
    </row>
    <row r="594" ht="12.75" customHeight="1">
      <c r="H594" s="40"/>
      <c r="I594" s="40"/>
      <c r="J594" s="41"/>
      <c r="K594" s="40"/>
      <c r="N594" s="42"/>
      <c r="V594" s="40"/>
    </row>
    <row r="595" ht="12.75" customHeight="1">
      <c r="H595" s="40"/>
      <c r="I595" s="40"/>
      <c r="J595" s="41"/>
      <c r="K595" s="40"/>
      <c r="N595" s="42"/>
      <c r="V595" s="40"/>
    </row>
    <row r="596" ht="12.75" customHeight="1">
      <c r="H596" s="40"/>
      <c r="I596" s="40"/>
      <c r="J596" s="41"/>
      <c r="K596" s="40"/>
      <c r="N596" s="42"/>
      <c r="V596" s="40"/>
    </row>
    <row r="597" ht="12.75" customHeight="1">
      <c r="H597" s="40"/>
      <c r="I597" s="40"/>
      <c r="J597" s="41"/>
      <c r="K597" s="40"/>
      <c r="N597" s="42"/>
      <c r="V597" s="40"/>
    </row>
    <row r="598" ht="12.75" customHeight="1">
      <c r="H598" s="40"/>
      <c r="I598" s="40"/>
      <c r="J598" s="41"/>
      <c r="K598" s="40"/>
      <c r="N598" s="42"/>
      <c r="V598" s="40"/>
    </row>
    <row r="599" ht="12.75" customHeight="1">
      <c r="H599" s="40"/>
      <c r="I599" s="40"/>
      <c r="J599" s="41"/>
      <c r="K599" s="40"/>
      <c r="N599" s="42"/>
      <c r="V599" s="40"/>
    </row>
    <row r="600" ht="12.75" customHeight="1">
      <c r="H600" s="40"/>
      <c r="I600" s="40"/>
      <c r="J600" s="41"/>
      <c r="K600" s="40"/>
      <c r="N600" s="42"/>
      <c r="V600" s="40"/>
    </row>
    <row r="601" ht="12.75" customHeight="1">
      <c r="H601" s="40"/>
      <c r="I601" s="40"/>
      <c r="J601" s="41"/>
      <c r="K601" s="40"/>
      <c r="N601" s="42"/>
      <c r="V601" s="40"/>
    </row>
    <row r="602" ht="12.75" customHeight="1">
      <c r="H602" s="40"/>
      <c r="I602" s="40"/>
      <c r="J602" s="41"/>
      <c r="K602" s="40"/>
      <c r="N602" s="42"/>
      <c r="V602" s="40"/>
    </row>
    <row r="603" ht="12.75" customHeight="1">
      <c r="H603" s="40"/>
      <c r="I603" s="40"/>
      <c r="J603" s="41"/>
      <c r="K603" s="40"/>
      <c r="N603" s="42"/>
      <c r="V603" s="40"/>
    </row>
    <row r="604" ht="12.75" customHeight="1">
      <c r="H604" s="40"/>
      <c r="I604" s="40"/>
      <c r="J604" s="41"/>
      <c r="K604" s="40"/>
      <c r="N604" s="42"/>
      <c r="V604" s="40"/>
    </row>
    <row r="605" ht="12.75" customHeight="1">
      <c r="H605" s="40"/>
      <c r="I605" s="40"/>
      <c r="J605" s="41"/>
      <c r="K605" s="40"/>
      <c r="N605" s="42"/>
      <c r="V605" s="40"/>
    </row>
    <row r="606" ht="12.75" customHeight="1">
      <c r="H606" s="40"/>
      <c r="I606" s="40"/>
      <c r="J606" s="41"/>
      <c r="K606" s="40"/>
      <c r="N606" s="42"/>
      <c r="V606" s="40"/>
    </row>
    <row r="607" ht="12.75" customHeight="1">
      <c r="H607" s="40"/>
      <c r="I607" s="40"/>
      <c r="J607" s="41"/>
      <c r="K607" s="40"/>
      <c r="N607" s="42"/>
      <c r="V607" s="40"/>
    </row>
    <row r="608" ht="12.75" customHeight="1">
      <c r="H608" s="40"/>
      <c r="I608" s="40"/>
      <c r="J608" s="41"/>
      <c r="K608" s="40"/>
      <c r="N608" s="42"/>
      <c r="V608" s="40"/>
    </row>
    <row r="609" ht="12.75" customHeight="1">
      <c r="H609" s="40"/>
      <c r="I609" s="40"/>
      <c r="J609" s="41"/>
      <c r="K609" s="40"/>
      <c r="N609" s="42"/>
      <c r="V609" s="40"/>
    </row>
    <row r="610" ht="12.75" customHeight="1">
      <c r="H610" s="40"/>
      <c r="I610" s="40"/>
      <c r="J610" s="41"/>
      <c r="K610" s="40"/>
      <c r="N610" s="42"/>
      <c r="V610" s="40"/>
    </row>
    <row r="611" ht="12.75" customHeight="1">
      <c r="H611" s="40"/>
      <c r="I611" s="40"/>
      <c r="J611" s="41"/>
      <c r="K611" s="40"/>
      <c r="N611" s="42"/>
      <c r="V611" s="40"/>
    </row>
    <row r="612" ht="12.75" customHeight="1">
      <c r="H612" s="40"/>
      <c r="I612" s="40"/>
      <c r="J612" s="41"/>
      <c r="K612" s="40"/>
      <c r="N612" s="42"/>
      <c r="V612" s="40"/>
    </row>
    <row r="613" ht="12.75" customHeight="1">
      <c r="H613" s="40"/>
      <c r="I613" s="40"/>
      <c r="J613" s="41"/>
      <c r="K613" s="40"/>
      <c r="N613" s="42"/>
      <c r="V613" s="40"/>
    </row>
    <row r="614" ht="12.75" customHeight="1">
      <c r="H614" s="40"/>
      <c r="I614" s="40"/>
      <c r="J614" s="41"/>
      <c r="K614" s="40"/>
      <c r="N614" s="42"/>
      <c r="V614" s="40"/>
    </row>
    <row r="615" ht="12.75" customHeight="1">
      <c r="H615" s="40"/>
      <c r="I615" s="40"/>
      <c r="J615" s="41"/>
      <c r="K615" s="40"/>
      <c r="N615" s="42"/>
      <c r="V615" s="40"/>
    </row>
    <row r="616" ht="12.75" customHeight="1">
      <c r="H616" s="40"/>
      <c r="I616" s="40"/>
      <c r="J616" s="41"/>
      <c r="K616" s="40"/>
      <c r="N616" s="42"/>
      <c r="V616" s="40"/>
    </row>
    <row r="617" ht="12.75" customHeight="1">
      <c r="H617" s="40"/>
      <c r="I617" s="40"/>
      <c r="J617" s="41"/>
      <c r="K617" s="40"/>
      <c r="N617" s="42"/>
      <c r="V617" s="40"/>
    </row>
    <row r="618" ht="12.75" customHeight="1">
      <c r="H618" s="40"/>
      <c r="I618" s="40"/>
      <c r="J618" s="41"/>
      <c r="K618" s="40"/>
      <c r="N618" s="42"/>
      <c r="V618" s="40"/>
    </row>
    <row r="619" ht="12.75" customHeight="1">
      <c r="H619" s="40"/>
      <c r="I619" s="40"/>
      <c r="J619" s="41"/>
      <c r="K619" s="40"/>
      <c r="N619" s="42"/>
      <c r="V619" s="40"/>
    </row>
    <row r="620" ht="12.75" customHeight="1">
      <c r="H620" s="40"/>
      <c r="I620" s="40"/>
      <c r="J620" s="41"/>
      <c r="K620" s="40"/>
      <c r="N620" s="42"/>
      <c r="V620" s="40"/>
    </row>
    <row r="621" ht="12.75" customHeight="1">
      <c r="H621" s="40"/>
      <c r="I621" s="40"/>
      <c r="J621" s="41"/>
      <c r="K621" s="40"/>
      <c r="N621" s="42"/>
      <c r="V621" s="40"/>
    </row>
    <row r="622" ht="12.75" customHeight="1">
      <c r="H622" s="40"/>
      <c r="I622" s="40"/>
      <c r="J622" s="41"/>
      <c r="K622" s="40"/>
      <c r="N622" s="42"/>
      <c r="V622" s="40"/>
    </row>
    <row r="623" ht="12.75" customHeight="1">
      <c r="H623" s="40"/>
      <c r="I623" s="40"/>
      <c r="J623" s="41"/>
      <c r="K623" s="40"/>
      <c r="N623" s="42"/>
      <c r="V623" s="40"/>
    </row>
    <row r="624" ht="12.75" customHeight="1">
      <c r="H624" s="40"/>
      <c r="I624" s="40"/>
      <c r="J624" s="41"/>
      <c r="K624" s="40"/>
      <c r="N624" s="42"/>
      <c r="V624" s="40"/>
    </row>
    <row r="625" ht="12.75" customHeight="1">
      <c r="H625" s="40"/>
      <c r="I625" s="40"/>
      <c r="J625" s="41"/>
      <c r="K625" s="40"/>
      <c r="N625" s="42"/>
      <c r="V625" s="40"/>
    </row>
    <row r="626" ht="12.75" customHeight="1">
      <c r="H626" s="40"/>
      <c r="I626" s="40"/>
      <c r="J626" s="41"/>
      <c r="K626" s="40"/>
      <c r="N626" s="42"/>
      <c r="V626" s="40"/>
    </row>
    <row r="627" ht="12.75" customHeight="1">
      <c r="H627" s="40"/>
      <c r="I627" s="40"/>
      <c r="J627" s="41"/>
      <c r="K627" s="40"/>
      <c r="N627" s="42"/>
      <c r="V627" s="40"/>
    </row>
    <row r="628" ht="12.75" customHeight="1">
      <c r="H628" s="40"/>
      <c r="I628" s="40"/>
      <c r="J628" s="41"/>
      <c r="K628" s="40"/>
      <c r="N628" s="42"/>
      <c r="V628" s="40"/>
    </row>
    <row r="629" ht="12.75" customHeight="1">
      <c r="H629" s="40"/>
      <c r="I629" s="40"/>
      <c r="J629" s="41"/>
      <c r="K629" s="40"/>
      <c r="N629" s="42"/>
      <c r="V629" s="40"/>
    </row>
    <row r="630" ht="12.75" customHeight="1">
      <c r="H630" s="40"/>
      <c r="I630" s="40"/>
      <c r="J630" s="41"/>
      <c r="K630" s="40"/>
      <c r="N630" s="42"/>
      <c r="V630" s="40"/>
    </row>
    <row r="631" ht="12.75" customHeight="1">
      <c r="H631" s="40"/>
      <c r="I631" s="40"/>
      <c r="J631" s="41"/>
      <c r="K631" s="40"/>
      <c r="N631" s="42"/>
      <c r="V631" s="40"/>
    </row>
    <row r="632" ht="12.75" customHeight="1">
      <c r="H632" s="40"/>
      <c r="I632" s="40"/>
      <c r="J632" s="41"/>
      <c r="K632" s="40"/>
      <c r="N632" s="42"/>
      <c r="V632" s="40"/>
    </row>
    <row r="633" ht="12.75" customHeight="1">
      <c r="H633" s="40"/>
      <c r="I633" s="40"/>
      <c r="J633" s="41"/>
      <c r="K633" s="40"/>
      <c r="N633" s="42"/>
      <c r="V633" s="40"/>
    </row>
    <row r="634" ht="12.75" customHeight="1">
      <c r="H634" s="40"/>
      <c r="I634" s="40"/>
      <c r="J634" s="41"/>
      <c r="K634" s="40"/>
      <c r="N634" s="42"/>
      <c r="V634" s="40"/>
    </row>
    <row r="635" ht="12.75" customHeight="1">
      <c r="H635" s="40"/>
      <c r="I635" s="40"/>
      <c r="J635" s="41"/>
      <c r="K635" s="40"/>
      <c r="N635" s="42"/>
      <c r="V635" s="40"/>
    </row>
    <row r="636" ht="12.75" customHeight="1">
      <c r="H636" s="40"/>
      <c r="I636" s="40"/>
      <c r="J636" s="41"/>
      <c r="K636" s="40"/>
      <c r="N636" s="42"/>
      <c r="V636" s="40"/>
    </row>
    <row r="637" ht="12.75" customHeight="1">
      <c r="H637" s="40"/>
      <c r="I637" s="40"/>
      <c r="J637" s="41"/>
      <c r="K637" s="40"/>
      <c r="N637" s="42"/>
      <c r="V637" s="40"/>
    </row>
    <row r="638" ht="12.75" customHeight="1">
      <c r="H638" s="40"/>
      <c r="I638" s="40"/>
      <c r="J638" s="41"/>
      <c r="K638" s="40"/>
      <c r="N638" s="42"/>
      <c r="V638" s="40"/>
    </row>
    <row r="639" ht="12.75" customHeight="1">
      <c r="H639" s="40"/>
      <c r="I639" s="40"/>
      <c r="J639" s="41"/>
      <c r="K639" s="40"/>
      <c r="N639" s="42"/>
      <c r="V639" s="40"/>
    </row>
    <row r="640" ht="12.75" customHeight="1">
      <c r="H640" s="40"/>
      <c r="I640" s="40"/>
      <c r="J640" s="41"/>
      <c r="K640" s="40"/>
      <c r="N640" s="42"/>
      <c r="V640" s="40"/>
    </row>
    <row r="641" ht="12.75" customHeight="1">
      <c r="H641" s="40"/>
      <c r="I641" s="40"/>
      <c r="J641" s="41"/>
      <c r="K641" s="40"/>
      <c r="N641" s="42"/>
      <c r="V641" s="40"/>
    </row>
    <row r="642" ht="12.75" customHeight="1">
      <c r="H642" s="40"/>
      <c r="I642" s="40"/>
      <c r="J642" s="41"/>
      <c r="K642" s="40"/>
      <c r="N642" s="42"/>
      <c r="V642" s="40"/>
    </row>
    <row r="643" ht="12.75" customHeight="1">
      <c r="H643" s="40"/>
      <c r="I643" s="40"/>
      <c r="J643" s="41"/>
      <c r="K643" s="40"/>
      <c r="N643" s="42"/>
      <c r="V643" s="40"/>
    </row>
    <row r="644" ht="12.75" customHeight="1">
      <c r="H644" s="40"/>
      <c r="I644" s="40"/>
      <c r="J644" s="41"/>
      <c r="K644" s="40"/>
      <c r="N644" s="42"/>
      <c r="V644" s="40"/>
    </row>
    <row r="645" ht="12.75" customHeight="1">
      <c r="H645" s="40"/>
      <c r="I645" s="40"/>
      <c r="J645" s="41"/>
      <c r="K645" s="40"/>
      <c r="N645" s="42"/>
      <c r="V645" s="40"/>
    </row>
    <row r="646" ht="12.75" customHeight="1">
      <c r="H646" s="40"/>
      <c r="I646" s="40"/>
      <c r="J646" s="41"/>
      <c r="K646" s="40"/>
      <c r="N646" s="42"/>
      <c r="V646" s="40"/>
    </row>
    <row r="647" ht="12.75" customHeight="1">
      <c r="H647" s="40"/>
      <c r="I647" s="40"/>
      <c r="J647" s="41"/>
      <c r="K647" s="40"/>
      <c r="N647" s="42"/>
      <c r="V647" s="40"/>
    </row>
    <row r="648" ht="12.75" customHeight="1">
      <c r="H648" s="40"/>
      <c r="I648" s="40"/>
      <c r="J648" s="41"/>
      <c r="K648" s="40"/>
      <c r="N648" s="42"/>
      <c r="V648" s="40"/>
    </row>
    <row r="649" ht="12.75" customHeight="1">
      <c r="H649" s="40"/>
      <c r="I649" s="40"/>
      <c r="J649" s="41"/>
      <c r="K649" s="40"/>
      <c r="N649" s="42"/>
      <c r="V649" s="40"/>
    </row>
    <row r="650" ht="12.75" customHeight="1">
      <c r="H650" s="40"/>
      <c r="I650" s="40"/>
      <c r="J650" s="41"/>
      <c r="K650" s="40"/>
      <c r="N650" s="42"/>
      <c r="V650" s="40"/>
    </row>
    <row r="651" ht="12.75" customHeight="1">
      <c r="H651" s="40"/>
      <c r="I651" s="40"/>
      <c r="J651" s="41"/>
      <c r="K651" s="40"/>
      <c r="N651" s="42"/>
      <c r="V651" s="40"/>
    </row>
    <row r="652" ht="12.75" customHeight="1">
      <c r="H652" s="40"/>
      <c r="I652" s="40"/>
      <c r="J652" s="41"/>
      <c r="K652" s="40"/>
      <c r="N652" s="42"/>
      <c r="V652" s="40"/>
    </row>
    <row r="653" ht="12.75" customHeight="1">
      <c r="H653" s="40"/>
      <c r="I653" s="40"/>
      <c r="J653" s="41"/>
      <c r="K653" s="40"/>
      <c r="N653" s="42"/>
      <c r="V653" s="40"/>
    </row>
    <row r="654" ht="12.75" customHeight="1">
      <c r="H654" s="40"/>
      <c r="I654" s="40"/>
      <c r="J654" s="41"/>
      <c r="K654" s="40"/>
      <c r="N654" s="42"/>
      <c r="V654" s="40"/>
    </row>
    <row r="655" ht="12.75" customHeight="1">
      <c r="H655" s="40"/>
      <c r="I655" s="40"/>
      <c r="J655" s="41"/>
      <c r="K655" s="40"/>
      <c r="N655" s="42"/>
      <c r="V655" s="40"/>
    </row>
    <row r="656" ht="12.75" customHeight="1">
      <c r="H656" s="40"/>
      <c r="I656" s="40"/>
      <c r="J656" s="41"/>
      <c r="K656" s="40"/>
      <c r="N656" s="42"/>
      <c r="V656" s="40"/>
    </row>
    <row r="657" ht="12.75" customHeight="1">
      <c r="H657" s="40"/>
      <c r="I657" s="40"/>
      <c r="J657" s="41"/>
      <c r="K657" s="40"/>
      <c r="N657" s="42"/>
      <c r="V657" s="40"/>
    </row>
    <row r="658" ht="12.75" customHeight="1">
      <c r="H658" s="40"/>
      <c r="I658" s="40"/>
      <c r="J658" s="41"/>
      <c r="K658" s="40"/>
      <c r="N658" s="42"/>
      <c r="V658" s="40"/>
    </row>
    <row r="659" ht="12.75" customHeight="1">
      <c r="H659" s="40"/>
      <c r="I659" s="40"/>
      <c r="J659" s="41"/>
      <c r="K659" s="40"/>
      <c r="N659" s="42"/>
      <c r="V659" s="40"/>
    </row>
    <row r="660" ht="12.75" customHeight="1">
      <c r="H660" s="40"/>
      <c r="I660" s="40"/>
      <c r="J660" s="41"/>
      <c r="K660" s="40"/>
      <c r="N660" s="42"/>
      <c r="V660" s="40"/>
    </row>
    <row r="661" ht="12.75" customHeight="1">
      <c r="H661" s="40"/>
      <c r="I661" s="40"/>
      <c r="J661" s="41"/>
      <c r="K661" s="40"/>
      <c r="N661" s="42"/>
      <c r="V661" s="40"/>
    </row>
    <row r="662" ht="12.75" customHeight="1">
      <c r="H662" s="40"/>
      <c r="I662" s="40"/>
      <c r="J662" s="41"/>
      <c r="K662" s="40"/>
      <c r="N662" s="42"/>
      <c r="V662" s="40"/>
    </row>
    <row r="663" ht="12.75" customHeight="1">
      <c r="H663" s="40"/>
      <c r="I663" s="40"/>
      <c r="J663" s="41"/>
      <c r="K663" s="40"/>
      <c r="N663" s="42"/>
      <c r="V663" s="40"/>
    </row>
    <row r="664" ht="12.75" customHeight="1">
      <c r="H664" s="40"/>
      <c r="I664" s="40"/>
      <c r="J664" s="41"/>
      <c r="K664" s="40"/>
      <c r="N664" s="42"/>
      <c r="V664" s="40"/>
    </row>
    <row r="665" ht="12.75" customHeight="1">
      <c r="H665" s="40"/>
      <c r="I665" s="40"/>
      <c r="J665" s="41"/>
      <c r="K665" s="40"/>
      <c r="N665" s="42"/>
      <c r="V665" s="40"/>
    </row>
    <row r="666" ht="12.75" customHeight="1">
      <c r="H666" s="40"/>
      <c r="I666" s="40"/>
      <c r="J666" s="41"/>
      <c r="K666" s="40"/>
      <c r="N666" s="42"/>
      <c r="V666" s="40"/>
    </row>
    <row r="667" ht="12.75" customHeight="1">
      <c r="H667" s="40"/>
      <c r="I667" s="40"/>
      <c r="J667" s="41"/>
      <c r="K667" s="40"/>
      <c r="N667" s="42"/>
      <c r="V667" s="40"/>
    </row>
    <row r="668" ht="12.75" customHeight="1">
      <c r="H668" s="40"/>
      <c r="I668" s="40"/>
      <c r="J668" s="41"/>
      <c r="K668" s="40"/>
      <c r="N668" s="42"/>
      <c r="V668" s="40"/>
    </row>
    <row r="669" ht="12.75" customHeight="1">
      <c r="H669" s="40"/>
      <c r="I669" s="40"/>
      <c r="J669" s="41"/>
      <c r="K669" s="40"/>
      <c r="N669" s="42"/>
      <c r="V669" s="40"/>
    </row>
    <row r="670" ht="12.75" customHeight="1">
      <c r="H670" s="40"/>
      <c r="I670" s="40"/>
      <c r="J670" s="41"/>
      <c r="K670" s="40"/>
      <c r="N670" s="42"/>
      <c r="V670" s="40"/>
    </row>
    <row r="671" ht="12.75" customHeight="1">
      <c r="H671" s="40"/>
      <c r="I671" s="40"/>
      <c r="J671" s="41"/>
      <c r="K671" s="40"/>
      <c r="N671" s="42"/>
      <c r="V671" s="40"/>
    </row>
    <row r="672" ht="12.75" customHeight="1">
      <c r="H672" s="40"/>
      <c r="I672" s="40"/>
      <c r="J672" s="41"/>
      <c r="K672" s="40"/>
      <c r="N672" s="42"/>
      <c r="V672" s="40"/>
    </row>
    <row r="673" ht="12.75" customHeight="1">
      <c r="H673" s="40"/>
      <c r="I673" s="40"/>
      <c r="J673" s="41"/>
      <c r="K673" s="40"/>
      <c r="N673" s="42"/>
      <c r="V673" s="40"/>
    </row>
    <row r="674" ht="12.75" customHeight="1">
      <c r="H674" s="40"/>
      <c r="I674" s="40"/>
      <c r="J674" s="41"/>
      <c r="K674" s="40"/>
      <c r="N674" s="42"/>
      <c r="V674" s="40"/>
    </row>
    <row r="675" ht="12.75" customHeight="1">
      <c r="H675" s="40"/>
      <c r="I675" s="40"/>
      <c r="J675" s="41"/>
      <c r="K675" s="40"/>
      <c r="N675" s="42"/>
      <c r="V675" s="40"/>
    </row>
    <row r="676" ht="12.75" customHeight="1">
      <c r="H676" s="40"/>
      <c r="I676" s="40"/>
      <c r="J676" s="41"/>
      <c r="K676" s="40"/>
      <c r="N676" s="42"/>
      <c r="V676" s="40"/>
    </row>
    <row r="677" ht="12.75" customHeight="1">
      <c r="H677" s="40"/>
      <c r="I677" s="40"/>
      <c r="J677" s="41"/>
      <c r="K677" s="40"/>
      <c r="N677" s="42"/>
      <c r="V677" s="40"/>
    </row>
    <row r="678" ht="12.75" customHeight="1">
      <c r="H678" s="40"/>
      <c r="I678" s="40"/>
      <c r="J678" s="41"/>
      <c r="K678" s="40"/>
      <c r="N678" s="42"/>
      <c r="V678" s="40"/>
    </row>
    <row r="679" ht="12.75" customHeight="1">
      <c r="H679" s="40"/>
      <c r="I679" s="40"/>
      <c r="J679" s="41"/>
      <c r="K679" s="40"/>
      <c r="N679" s="42"/>
      <c r="V679" s="40"/>
    </row>
    <row r="680" ht="12.75" customHeight="1">
      <c r="H680" s="40"/>
      <c r="I680" s="40"/>
      <c r="J680" s="41"/>
      <c r="K680" s="40"/>
      <c r="N680" s="42"/>
      <c r="V680" s="40"/>
    </row>
    <row r="681" ht="12.75" customHeight="1">
      <c r="H681" s="40"/>
      <c r="I681" s="40"/>
      <c r="J681" s="41"/>
      <c r="K681" s="40"/>
      <c r="N681" s="42"/>
      <c r="V681" s="40"/>
    </row>
    <row r="682" ht="12.75" customHeight="1">
      <c r="H682" s="40"/>
      <c r="I682" s="40"/>
      <c r="J682" s="41"/>
      <c r="K682" s="40"/>
      <c r="N682" s="42"/>
      <c r="V682" s="40"/>
    </row>
    <row r="683" ht="12.75" customHeight="1">
      <c r="H683" s="40"/>
      <c r="I683" s="40"/>
      <c r="J683" s="41"/>
      <c r="K683" s="40"/>
      <c r="N683" s="42"/>
      <c r="V683" s="40"/>
    </row>
    <row r="684" ht="12.75" customHeight="1">
      <c r="H684" s="40"/>
      <c r="I684" s="40"/>
      <c r="J684" s="41"/>
      <c r="K684" s="40"/>
      <c r="N684" s="42"/>
      <c r="V684" s="40"/>
    </row>
    <row r="685" ht="12.75" customHeight="1">
      <c r="H685" s="40"/>
      <c r="I685" s="40"/>
      <c r="J685" s="41"/>
      <c r="K685" s="40"/>
      <c r="N685" s="42"/>
      <c r="V685" s="40"/>
    </row>
    <row r="686" ht="12.75" customHeight="1">
      <c r="H686" s="40"/>
      <c r="I686" s="40"/>
      <c r="J686" s="41"/>
      <c r="K686" s="40"/>
      <c r="N686" s="42"/>
      <c r="V686" s="40"/>
    </row>
    <row r="687" ht="12.75" customHeight="1">
      <c r="H687" s="40"/>
      <c r="I687" s="40"/>
      <c r="J687" s="41"/>
      <c r="K687" s="40"/>
      <c r="N687" s="42"/>
      <c r="V687" s="40"/>
    </row>
    <row r="688" ht="12.75" customHeight="1">
      <c r="H688" s="40"/>
      <c r="I688" s="40"/>
      <c r="J688" s="41"/>
      <c r="K688" s="40"/>
      <c r="N688" s="42"/>
      <c r="V688" s="40"/>
    </row>
    <row r="689" ht="12.75" customHeight="1">
      <c r="H689" s="40"/>
      <c r="I689" s="40"/>
      <c r="J689" s="41"/>
      <c r="K689" s="40"/>
      <c r="N689" s="42"/>
      <c r="V689" s="40"/>
    </row>
    <row r="690" ht="12.75" customHeight="1">
      <c r="H690" s="40"/>
      <c r="I690" s="40"/>
      <c r="J690" s="41"/>
      <c r="K690" s="40"/>
      <c r="N690" s="42"/>
      <c r="V690" s="40"/>
    </row>
    <row r="691" ht="12.75" customHeight="1">
      <c r="H691" s="40"/>
      <c r="I691" s="40"/>
      <c r="J691" s="41"/>
      <c r="K691" s="40"/>
      <c r="N691" s="42"/>
      <c r="V691" s="40"/>
    </row>
    <row r="692" ht="12.75" customHeight="1">
      <c r="H692" s="40"/>
      <c r="I692" s="40"/>
      <c r="J692" s="41"/>
      <c r="K692" s="40"/>
      <c r="N692" s="42"/>
      <c r="V692" s="40"/>
    </row>
    <row r="693" ht="12.75" customHeight="1">
      <c r="H693" s="40"/>
      <c r="I693" s="40"/>
      <c r="J693" s="41"/>
      <c r="K693" s="40"/>
      <c r="N693" s="42"/>
      <c r="V693" s="40"/>
    </row>
    <row r="694" ht="12.75" customHeight="1">
      <c r="H694" s="40"/>
      <c r="I694" s="40"/>
      <c r="J694" s="41"/>
      <c r="K694" s="40"/>
      <c r="N694" s="42"/>
      <c r="V694" s="40"/>
    </row>
    <row r="695" ht="12.75" customHeight="1">
      <c r="H695" s="40"/>
      <c r="I695" s="40"/>
      <c r="J695" s="41"/>
      <c r="K695" s="40"/>
      <c r="N695" s="42"/>
      <c r="V695" s="40"/>
    </row>
    <row r="696" ht="12.75" customHeight="1">
      <c r="H696" s="40"/>
      <c r="I696" s="40"/>
      <c r="J696" s="41"/>
      <c r="K696" s="40"/>
      <c r="N696" s="42"/>
      <c r="V696" s="40"/>
    </row>
    <row r="697" ht="12.75" customHeight="1">
      <c r="H697" s="40"/>
      <c r="I697" s="40"/>
      <c r="J697" s="41"/>
      <c r="K697" s="40"/>
      <c r="N697" s="42"/>
      <c r="V697" s="40"/>
    </row>
    <row r="698" ht="12.75" customHeight="1">
      <c r="H698" s="40"/>
      <c r="I698" s="40"/>
      <c r="J698" s="41"/>
      <c r="K698" s="40"/>
      <c r="N698" s="42"/>
      <c r="V698" s="40"/>
    </row>
    <row r="699" ht="12.75" customHeight="1">
      <c r="H699" s="40"/>
      <c r="I699" s="40"/>
      <c r="J699" s="41"/>
      <c r="K699" s="40"/>
      <c r="N699" s="42"/>
      <c r="V699" s="40"/>
    </row>
    <row r="700" ht="12.75" customHeight="1">
      <c r="H700" s="40"/>
      <c r="I700" s="40"/>
      <c r="J700" s="41"/>
      <c r="K700" s="40"/>
      <c r="N700" s="42"/>
      <c r="V700" s="40"/>
    </row>
    <row r="701" ht="12.75" customHeight="1">
      <c r="H701" s="40"/>
      <c r="I701" s="40"/>
      <c r="J701" s="41"/>
      <c r="K701" s="40"/>
      <c r="N701" s="42"/>
      <c r="V701" s="40"/>
    </row>
    <row r="702" ht="12.75" customHeight="1">
      <c r="H702" s="40"/>
      <c r="I702" s="40"/>
      <c r="J702" s="41"/>
      <c r="K702" s="40"/>
      <c r="N702" s="42"/>
      <c r="V702" s="40"/>
    </row>
    <row r="703" ht="12.75" customHeight="1">
      <c r="H703" s="40"/>
      <c r="I703" s="40"/>
      <c r="J703" s="41"/>
      <c r="K703" s="40"/>
      <c r="N703" s="42"/>
      <c r="V703" s="40"/>
    </row>
    <row r="704" ht="12.75" customHeight="1">
      <c r="H704" s="40"/>
      <c r="I704" s="40"/>
      <c r="J704" s="41"/>
      <c r="K704" s="40"/>
      <c r="N704" s="42"/>
      <c r="V704" s="40"/>
    </row>
    <row r="705" ht="12.75" customHeight="1">
      <c r="H705" s="40"/>
      <c r="I705" s="40"/>
      <c r="J705" s="41"/>
      <c r="K705" s="40"/>
      <c r="N705" s="42"/>
      <c r="V705" s="40"/>
    </row>
    <row r="706" ht="12.75" customHeight="1">
      <c r="H706" s="40"/>
      <c r="I706" s="40"/>
      <c r="J706" s="41"/>
      <c r="K706" s="40"/>
      <c r="N706" s="42"/>
      <c r="V706" s="40"/>
    </row>
    <row r="707" ht="12.75" customHeight="1">
      <c r="H707" s="40"/>
      <c r="I707" s="40"/>
      <c r="J707" s="41"/>
      <c r="K707" s="40"/>
      <c r="N707" s="42"/>
      <c r="V707" s="40"/>
    </row>
    <row r="708" ht="12.75" customHeight="1">
      <c r="H708" s="40"/>
      <c r="I708" s="40"/>
      <c r="J708" s="41"/>
      <c r="K708" s="40"/>
      <c r="N708" s="42"/>
      <c r="V708" s="40"/>
    </row>
    <row r="709" ht="12.75" customHeight="1">
      <c r="H709" s="40"/>
      <c r="I709" s="40"/>
      <c r="J709" s="41"/>
      <c r="K709" s="40"/>
      <c r="N709" s="42"/>
      <c r="V709" s="40"/>
    </row>
    <row r="710" ht="12.75" customHeight="1">
      <c r="H710" s="40"/>
      <c r="I710" s="40"/>
      <c r="J710" s="41"/>
      <c r="K710" s="40"/>
      <c r="N710" s="42"/>
      <c r="V710" s="40"/>
    </row>
    <row r="711" ht="12.75" customHeight="1">
      <c r="H711" s="40"/>
      <c r="I711" s="40"/>
      <c r="J711" s="41"/>
      <c r="K711" s="40"/>
      <c r="N711" s="42"/>
      <c r="V711" s="40"/>
    </row>
    <row r="712" ht="12.75" customHeight="1">
      <c r="H712" s="40"/>
      <c r="I712" s="40"/>
      <c r="J712" s="41"/>
      <c r="K712" s="40"/>
      <c r="N712" s="42"/>
      <c r="V712" s="40"/>
    </row>
    <row r="713" ht="12.75" customHeight="1">
      <c r="H713" s="40"/>
      <c r="I713" s="40"/>
      <c r="J713" s="41"/>
      <c r="K713" s="40"/>
      <c r="N713" s="42"/>
      <c r="V713" s="40"/>
    </row>
    <row r="714" ht="12.75" customHeight="1">
      <c r="H714" s="40"/>
      <c r="I714" s="40"/>
      <c r="J714" s="41"/>
      <c r="K714" s="40"/>
      <c r="N714" s="42"/>
      <c r="V714" s="40"/>
    </row>
    <row r="715" ht="12.75" customHeight="1">
      <c r="H715" s="40"/>
      <c r="I715" s="40"/>
      <c r="J715" s="41"/>
      <c r="K715" s="40"/>
      <c r="N715" s="42"/>
      <c r="V715" s="40"/>
    </row>
    <row r="716" ht="12.75" customHeight="1">
      <c r="H716" s="40"/>
      <c r="I716" s="40"/>
      <c r="J716" s="41"/>
      <c r="K716" s="40"/>
      <c r="N716" s="42"/>
      <c r="V716" s="40"/>
    </row>
    <row r="717" ht="12.75" customHeight="1">
      <c r="H717" s="40"/>
      <c r="I717" s="40"/>
      <c r="J717" s="41"/>
      <c r="K717" s="40"/>
      <c r="N717" s="42"/>
      <c r="V717" s="40"/>
    </row>
    <row r="718" ht="12.75" customHeight="1">
      <c r="H718" s="40"/>
      <c r="I718" s="40"/>
      <c r="J718" s="41"/>
      <c r="K718" s="40"/>
      <c r="N718" s="42"/>
      <c r="V718" s="40"/>
    </row>
    <row r="719" ht="12.75" customHeight="1">
      <c r="H719" s="40"/>
      <c r="I719" s="40"/>
      <c r="J719" s="41"/>
      <c r="K719" s="40"/>
      <c r="N719" s="42"/>
      <c r="V719" s="40"/>
    </row>
    <row r="720" ht="12.75" customHeight="1">
      <c r="H720" s="40"/>
      <c r="I720" s="40"/>
      <c r="J720" s="41"/>
      <c r="K720" s="40"/>
      <c r="N720" s="42"/>
      <c r="V720" s="40"/>
    </row>
    <row r="721" ht="12.75" customHeight="1">
      <c r="H721" s="40"/>
      <c r="I721" s="40"/>
      <c r="J721" s="41"/>
      <c r="K721" s="40"/>
      <c r="N721" s="42"/>
      <c r="V721" s="40"/>
    </row>
    <row r="722" ht="12.75" customHeight="1">
      <c r="H722" s="40"/>
      <c r="I722" s="40"/>
      <c r="J722" s="41"/>
      <c r="K722" s="40"/>
      <c r="N722" s="42"/>
      <c r="V722" s="40"/>
    </row>
    <row r="723" ht="12.75" customHeight="1">
      <c r="H723" s="40"/>
      <c r="I723" s="40"/>
      <c r="J723" s="41"/>
      <c r="K723" s="40"/>
      <c r="N723" s="42"/>
      <c r="V723" s="40"/>
    </row>
    <row r="724" ht="12.75" customHeight="1">
      <c r="H724" s="40"/>
      <c r="I724" s="40"/>
      <c r="J724" s="41"/>
      <c r="K724" s="40"/>
      <c r="N724" s="42"/>
      <c r="V724" s="40"/>
    </row>
    <row r="725" ht="12.75" customHeight="1">
      <c r="H725" s="40"/>
      <c r="I725" s="40"/>
      <c r="J725" s="41"/>
      <c r="K725" s="40"/>
      <c r="N725" s="42"/>
      <c r="V725" s="40"/>
    </row>
    <row r="726" ht="12.75" customHeight="1">
      <c r="H726" s="40"/>
      <c r="I726" s="40"/>
      <c r="J726" s="41"/>
      <c r="K726" s="40"/>
      <c r="N726" s="42"/>
      <c r="V726" s="40"/>
    </row>
    <row r="727" ht="12.75" customHeight="1">
      <c r="H727" s="40"/>
      <c r="I727" s="40"/>
      <c r="J727" s="41"/>
      <c r="K727" s="40"/>
      <c r="N727" s="42"/>
      <c r="V727" s="40"/>
    </row>
    <row r="728" ht="12.75" customHeight="1">
      <c r="H728" s="40"/>
      <c r="I728" s="40"/>
      <c r="J728" s="41"/>
      <c r="K728" s="40"/>
      <c r="N728" s="42"/>
      <c r="V728" s="40"/>
    </row>
    <row r="729" ht="12.75" customHeight="1">
      <c r="H729" s="40"/>
      <c r="I729" s="40"/>
      <c r="J729" s="41"/>
      <c r="K729" s="40"/>
      <c r="N729" s="42"/>
      <c r="V729" s="40"/>
    </row>
    <row r="730" ht="12.75" customHeight="1">
      <c r="H730" s="40"/>
      <c r="I730" s="40"/>
      <c r="J730" s="41"/>
      <c r="K730" s="40"/>
      <c r="N730" s="42"/>
      <c r="V730" s="40"/>
    </row>
    <row r="731" ht="12.75" customHeight="1">
      <c r="H731" s="40"/>
      <c r="I731" s="40"/>
      <c r="J731" s="41"/>
      <c r="K731" s="40"/>
      <c r="N731" s="42"/>
      <c r="V731" s="40"/>
    </row>
    <row r="732" ht="12.75" customHeight="1">
      <c r="H732" s="40"/>
      <c r="I732" s="40"/>
      <c r="J732" s="41"/>
      <c r="K732" s="40"/>
      <c r="N732" s="42"/>
      <c r="V732" s="40"/>
    </row>
    <row r="733" ht="12.75" customHeight="1">
      <c r="H733" s="40"/>
      <c r="I733" s="40"/>
      <c r="J733" s="41"/>
      <c r="K733" s="40"/>
      <c r="N733" s="42"/>
      <c r="V733" s="40"/>
    </row>
    <row r="734" ht="12.75" customHeight="1">
      <c r="H734" s="40"/>
      <c r="I734" s="40"/>
      <c r="J734" s="41"/>
      <c r="K734" s="40"/>
      <c r="N734" s="42"/>
      <c r="V734" s="40"/>
    </row>
    <row r="735" ht="12.75" customHeight="1">
      <c r="H735" s="40"/>
      <c r="I735" s="40"/>
      <c r="J735" s="41"/>
      <c r="K735" s="40"/>
      <c r="N735" s="42"/>
      <c r="V735" s="40"/>
    </row>
    <row r="736" ht="12.75" customHeight="1">
      <c r="H736" s="40"/>
      <c r="I736" s="40"/>
      <c r="J736" s="41"/>
      <c r="K736" s="40"/>
      <c r="N736" s="42"/>
      <c r="V736" s="40"/>
    </row>
    <row r="737" ht="12.75" customHeight="1">
      <c r="H737" s="40"/>
      <c r="I737" s="40"/>
      <c r="J737" s="41"/>
      <c r="K737" s="40"/>
      <c r="N737" s="42"/>
      <c r="V737" s="40"/>
    </row>
    <row r="738" ht="12.75" customHeight="1">
      <c r="H738" s="40"/>
      <c r="I738" s="40"/>
      <c r="J738" s="41"/>
      <c r="K738" s="40"/>
      <c r="N738" s="42"/>
      <c r="V738" s="40"/>
    </row>
    <row r="739" ht="12.75" customHeight="1">
      <c r="H739" s="40"/>
      <c r="I739" s="40"/>
      <c r="J739" s="41"/>
      <c r="K739" s="40"/>
      <c r="N739" s="42"/>
      <c r="V739" s="40"/>
    </row>
    <row r="740" ht="12.75" customHeight="1">
      <c r="H740" s="40"/>
      <c r="I740" s="40"/>
      <c r="J740" s="41"/>
      <c r="K740" s="40"/>
      <c r="N740" s="42"/>
      <c r="V740" s="40"/>
    </row>
    <row r="741" ht="12.75" customHeight="1">
      <c r="H741" s="40"/>
      <c r="I741" s="40"/>
      <c r="J741" s="41"/>
      <c r="K741" s="40"/>
      <c r="N741" s="42"/>
      <c r="V741" s="40"/>
    </row>
    <row r="742" ht="12.75" customHeight="1">
      <c r="H742" s="40"/>
      <c r="I742" s="40"/>
      <c r="J742" s="41"/>
      <c r="K742" s="40"/>
      <c r="N742" s="42"/>
      <c r="V742" s="40"/>
    </row>
    <row r="743" ht="12.75" customHeight="1">
      <c r="H743" s="40"/>
      <c r="I743" s="40"/>
      <c r="J743" s="41"/>
      <c r="K743" s="40"/>
      <c r="N743" s="42"/>
      <c r="V743" s="40"/>
    </row>
    <row r="744" ht="12.75" customHeight="1">
      <c r="H744" s="40"/>
      <c r="I744" s="40"/>
      <c r="J744" s="41"/>
      <c r="K744" s="40"/>
      <c r="N744" s="42"/>
      <c r="V744" s="40"/>
    </row>
    <row r="745" ht="12.75" customHeight="1">
      <c r="H745" s="40"/>
      <c r="I745" s="40"/>
      <c r="J745" s="41"/>
      <c r="K745" s="40"/>
      <c r="N745" s="42"/>
      <c r="V745" s="40"/>
    </row>
    <row r="746" ht="12.75" customHeight="1">
      <c r="H746" s="40"/>
      <c r="I746" s="40"/>
      <c r="J746" s="41"/>
      <c r="K746" s="40"/>
      <c r="N746" s="42"/>
      <c r="V746" s="40"/>
    </row>
    <row r="747" ht="12.75" customHeight="1">
      <c r="H747" s="40"/>
      <c r="I747" s="40"/>
      <c r="J747" s="41"/>
      <c r="K747" s="40"/>
      <c r="N747" s="42"/>
      <c r="V747" s="40"/>
    </row>
    <row r="748" ht="12.75" customHeight="1">
      <c r="H748" s="40"/>
      <c r="I748" s="40"/>
      <c r="J748" s="41"/>
      <c r="K748" s="40"/>
      <c r="N748" s="42"/>
      <c r="V748" s="40"/>
    </row>
    <row r="749" ht="12.75" customHeight="1">
      <c r="H749" s="40"/>
      <c r="I749" s="40"/>
      <c r="J749" s="41"/>
      <c r="K749" s="40"/>
      <c r="N749" s="42"/>
      <c r="V749" s="40"/>
    </row>
    <row r="750" ht="12.75" customHeight="1">
      <c r="H750" s="40"/>
      <c r="I750" s="40"/>
      <c r="J750" s="41"/>
      <c r="K750" s="40"/>
      <c r="N750" s="42"/>
      <c r="V750" s="40"/>
    </row>
    <row r="751" ht="12.75" customHeight="1">
      <c r="H751" s="40"/>
      <c r="I751" s="40"/>
      <c r="J751" s="41"/>
      <c r="K751" s="40"/>
      <c r="N751" s="42"/>
      <c r="V751" s="40"/>
    </row>
    <row r="752" ht="12.75" customHeight="1">
      <c r="H752" s="40"/>
      <c r="I752" s="40"/>
      <c r="J752" s="41"/>
      <c r="K752" s="40"/>
      <c r="N752" s="42"/>
      <c r="V752" s="40"/>
    </row>
    <row r="753" ht="12.75" customHeight="1">
      <c r="H753" s="40"/>
      <c r="I753" s="40"/>
      <c r="J753" s="41"/>
      <c r="K753" s="40"/>
      <c r="N753" s="42"/>
      <c r="V753" s="40"/>
    </row>
    <row r="754" ht="12.75" customHeight="1">
      <c r="H754" s="40"/>
      <c r="I754" s="40"/>
      <c r="J754" s="41"/>
      <c r="K754" s="40"/>
      <c r="N754" s="42"/>
      <c r="V754" s="40"/>
    </row>
    <row r="755" ht="12.75" customHeight="1">
      <c r="H755" s="40"/>
      <c r="I755" s="40"/>
      <c r="J755" s="41"/>
      <c r="K755" s="40"/>
      <c r="N755" s="42"/>
      <c r="V755" s="40"/>
    </row>
    <row r="756" ht="12.75" customHeight="1">
      <c r="H756" s="40"/>
      <c r="I756" s="40"/>
      <c r="J756" s="41"/>
      <c r="K756" s="40"/>
      <c r="N756" s="42"/>
      <c r="V756" s="40"/>
    </row>
    <row r="757" ht="12.75" customHeight="1">
      <c r="H757" s="40"/>
      <c r="I757" s="40"/>
      <c r="J757" s="41"/>
      <c r="K757" s="40"/>
      <c r="N757" s="42"/>
      <c r="V757" s="40"/>
    </row>
    <row r="758" ht="12.75" customHeight="1">
      <c r="H758" s="40"/>
      <c r="I758" s="40"/>
      <c r="J758" s="41"/>
      <c r="K758" s="40"/>
      <c r="N758" s="42"/>
      <c r="V758" s="40"/>
    </row>
    <row r="759" ht="12.75" customHeight="1">
      <c r="H759" s="40"/>
      <c r="I759" s="40"/>
      <c r="J759" s="41"/>
      <c r="K759" s="40"/>
      <c r="N759" s="42"/>
      <c r="V759" s="40"/>
    </row>
    <row r="760" ht="12.75" customHeight="1">
      <c r="H760" s="40"/>
      <c r="I760" s="40"/>
      <c r="J760" s="41"/>
      <c r="K760" s="40"/>
      <c r="N760" s="42"/>
      <c r="V760" s="40"/>
    </row>
    <row r="761" ht="12.75" customHeight="1">
      <c r="H761" s="40"/>
      <c r="I761" s="40"/>
      <c r="J761" s="41"/>
      <c r="K761" s="40"/>
      <c r="N761" s="42"/>
      <c r="V761" s="40"/>
    </row>
    <row r="762" ht="12.75" customHeight="1">
      <c r="H762" s="40"/>
      <c r="I762" s="40"/>
      <c r="J762" s="41"/>
      <c r="K762" s="40"/>
      <c r="N762" s="42"/>
      <c r="V762" s="40"/>
    </row>
    <row r="763" ht="12.75" customHeight="1">
      <c r="H763" s="40"/>
      <c r="I763" s="40"/>
      <c r="J763" s="41"/>
      <c r="K763" s="40"/>
      <c r="N763" s="42"/>
      <c r="V763" s="40"/>
    </row>
    <row r="764" ht="12.75" customHeight="1">
      <c r="H764" s="40"/>
      <c r="I764" s="40"/>
      <c r="J764" s="41"/>
      <c r="K764" s="40"/>
      <c r="N764" s="42"/>
      <c r="V764" s="40"/>
    </row>
    <row r="765" ht="12.75" customHeight="1">
      <c r="H765" s="40"/>
      <c r="I765" s="40"/>
      <c r="J765" s="41"/>
      <c r="K765" s="40"/>
      <c r="N765" s="42"/>
      <c r="V765" s="40"/>
    </row>
    <row r="766" ht="12.75" customHeight="1">
      <c r="H766" s="40"/>
      <c r="I766" s="40"/>
      <c r="J766" s="41"/>
      <c r="K766" s="40"/>
      <c r="N766" s="42"/>
      <c r="V766" s="40"/>
    </row>
    <row r="767" ht="12.75" customHeight="1">
      <c r="H767" s="40"/>
      <c r="I767" s="40"/>
      <c r="J767" s="41"/>
      <c r="K767" s="40"/>
      <c r="N767" s="42"/>
      <c r="V767" s="40"/>
    </row>
    <row r="768" ht="12.75" customHeight="1">
      <c r="H768" s="40"/>
      <c r="I768" s="40"/>
      <c r="J768" s="41"/>
      <c r="K768" s="40"/>
      <c r="N768" s="42"/>
      <c r="V768" s="40"/>
    </row>
    <row r="769" ht="12.75" customHeight="1">
      <c r="H769" s="40"/>
      <c r="I769" s="40"/>
      <c r="J769" s="41"/>
      <c r="K769" s="40"/>
      <c r="N769" s="42"/>
      <c r="V769" s="40"/>
    </row>
    <row r="770" ht="12.75" customHeight="1">
      <c r="H770" s="40"/>
      <c r="I770" s="40"/>
      <c r="J770" s="41"/>
      <c r="K770" s="40"/>
      <c r="N770" s="42"/>
      <c r="V770" s="40"/>
    </row>
    <row r="771" ht="12.75" customHeight="1">
      <c r="H771" s="40"/>
      <c r="I771" s="40"/>
      <c r="J771" s="41"/>
      <c r="K771" s="40"/>
      <c r="N771" s="42"/>
      <c r="V771" s="40"/>
    </row>
    <row r="772" ht="12.75" customHeight="1">
      <c r="H772" s="40"/>
      <c r="I772" s="40"/>
      <c r="J772" s="41"/>
      <c r="K772" s="40"/>
      <c r="N772" s="42"/>
      <c r="V772" s="40"/>
    </row>
    <row r="773" ht="12.75" customHeight="1">
      <c r="H773" s="40"/>
      <c r="I773" s="40"/>
      <c r="J773" s="41"/>
      <c r="K773" s="40"/>
      <c r="N773" s="42"/>
      <c r="V773" s="40"/>
    </row>
    <row r="774" ht="12.75" customHeight="1">
      <c r="H774" s="40"/>
      <c r="I774" s="40"/>
      <c r="J774" s="41"/>
      <c r="K774" s="40"/>
      <c r="N774" s="42"/>
      <c r="V774" s="40"/>
    </row>
    <row r="775" ht="12.75" customHeight="1">
      <c r="H775" s="40"/>
      <c r="I775" s="40"/>
      <c r="J775" s="41"/>
      <c r="K775" s="40"/>
      <c r="N775" s="42"/>
      <c r="V775" s="40"/>
    </row>
    <row r="776" ht="12.75" customHeight="1">
      <c r="H776" s="40"/>
      <c r="I776" s="40"/>
      <c r="J776" s="41"/>
      <c r="K776" s="40"/>
      <c r="N776" s="42"/>
      <c r="V776" s="40"/>
    </row>
    <row r="777" ht="12.75" customHeight="1">
      <c r="H777" s="40"/>
      <c r="I777" s="40"/>
      <c r="J777" s="41"/>
      <c r="K777" s="40"/>
      <c r="N777" s="42"/>
      <c r="V777" s="40"/>
    </row>
    <row r="778" ht="12.75" customHeight="1">
      <c r="H778" s="40"/>
      <c r="I778" s="40"/>
      <c r="J778" s="41"/>
      <c r="K778" s="40"/>
      <c r="N778" s="42"/>
      <c r="V778" s="40"/>
    </row>
    <row r="779" ht="12.75" customHeight="1">
      <c r="H779" s="40"/>
      <c r="I779" s="40"/>
      <c r="J779" s="41"/>
      <c r="K779" s="40"/>
      <c r="N779" s="42"/>
      <c r="V779" s="40"/>
    </row>
    <row r="780" ht="12.75" customHeight="1">
      <c r="H780" s="40"/>
      <c r="I780" s="40"/>
      <c r="J780" s="41"/>
      <c r="K780" s="40"/>
      <c r="N780" s="42"/>
      <c r="V780" s="40"/>
    </row>
    <row r="781" ht="12.75" customHeight="1">
      <c r="H781" s="40"/>
      <c r="I781" s="40"/>
      <c r="J781" s="41"/>
      <c r="K781" s="40"/>
      <c r="N781" s="42"/>
      <c r="V781" s="40"/>
    </row>
    <row r="782" ht="12.75" customHeight="1">
      <c r="H782" s="40"/>
      <c r="I782" s="40"/>
      <c r="J782" s="41"/>
      <c r="K782" s="40"/>
      <c r="N782" s="42"/>
      <c r="V782" s="40"/>
    </row>
    <row r="783" ht="12.75" customHeight="1">
      <c r="H783" s="40"/>
      <c r="I783" s="40"/>
      <c r="J783" s="41"/>
      <c r="K783" s="40"/>
      <c r="N783" s="42"/>
      <c r="V783" s="40"/>
    </row>
    <row r="784" ht="12.75" customHeight="1">
      <c r="H784" s="40"/>
      <c r="I784" s="40"/>
      <c r="J784" s="41"/>
      <c r="K784" s="40"/>
      <c r="N784" s="42"/>
      <c r="V784" s="40"/>
    </row>
    <row r="785" ht="12.75" customHeight="1">
      <c r="H785" s="40"/>
      <c r="I785" s="40"/>
      <c r="J785" s="41"/>
      <c r="K785" s="40"/>
      <c r="N785" s="42"/>
      <c r="V785" s="40"/>
    </row>
    <row r="786" ht="12.75" customHeight="1">
      <c r="H786" s="40"/>
      <c r="I786" s="40"/>
      <c r="J786" s="41"/>
      <c r="K786" s="40"/>
      <c r="N786" s="42"/>
      <c r="V786" s="40"/>
    </row>
    <row r="787" ht="12.75" customHeight="1">
      <c r="H787" s="40"/>
      <c r="I787" s="40"/>
      <c r="J787" s="41"/>
      <c r="K787" s="40"/>
      <c r="N787" s="42"/>
      <c r="V787" s="40"/>
    </row>
    <row r="788" ht="12.75" customHeight="1">
      <c r="H788" s="40"/>
      <c r="I788" s="40"/>
      <c r="J788" s="41"/>
      <c r="K788" s="40"/>
      <c r="N788" s="42"/>
      <c r="V788" s="40"/>
    </row>
    <row r="789" ht="12.75" customHeight="1">
      <c r="H789" s="40"/>
      <c r="I789" s="40"/>
      <c r="J789" s="41"/>
      <c r="K789" s="40"/>
      <c r="N789" s="42"/>
      <c r="V789" s="40"/>
    </row>
    <row r="790" ht="12.75" customHeight="1">
      <c r="H790" s="40"/>
      <c r="I790" s="40"/>
      <c r="J790" s="41"/>
      <c r="K790" s="40"/>
      <c r="N790" s="42"/>
      <c r="V790" s="40"/>
    </row>
    <row r="791" ht="12.75" customHeight="1">
      <c r="H791" s="40"/>
      <c r="I791" s="40"/>
      <c r="J791" s="41"/>
      <c r="K791" s="40"/>
      <c r="N791" s="42"/>
      <c r="V791" s="40"/>
    </row>
    <row r="792" ht="12.75" customHeight="1">
      <c r="H792" s="40"/>
      <c r="I792" s="40"/>
      <c r="J792" s="41"/>
      <c r="K792" s="40"/>
      <c r="N792" s="42"/>
      <c r="V792" s="40"/>
    </row>
    <row r="793" ht="12.75" customHeight="1">
      <c r="H793" s="40"/>
      <c r="I793" s="40"/>
      <c r="J793" s="41"/>
      <c r="K793" s="40"/>
      <c r="N793" s="42"/>
      <c r="V793" s="40"/>
    </row>
    <row r="794" ht="12.75" customHeight="1">
      <c r="H794" s="40"/>
      <c r="I794" s="40"/>
      <c r="J794" s="41"/>
      <c r="K794" s="40"/>
      <c r="N794" s="42"/>
      <c r="V794" s="40"/>
    </row>
    <row r="795" ht="12.75" customHeight="1">
      <c r="H795" s="40"/>
      <c r="I795" s="40"/>
      <c r="J795" s="41"/>
      <c r="K795" s="40"/>
      <c r="N795" s="42"/>
      <c r="V795" s="40"/>
    </row>
    <row r="796" ht="12.75" customHeight="1">
      <c r="H796" s="40"/>
      <c r="I796" s="40"/>
      <c r="J796" s="41"/>
      <c r="K796" s="40"/>
      <c r="N796" s="42"/>
      <c r="V796" s="40"/>
    </row>
    <row r="797" ht="12.75" customHeight="1">
      <c r="H797" s="40"/>
      <c r="I797" s="40"/>
      <c r="J797" s="41"/>
      <c r="K797" s="40"/>
      <c r="N797" s="42"/>
      <c r="V797" s="40"/>
    </row>
    <row r="798" ht="12.75" customHeight="1">
      <c r="H798" s="40"/>
      <c r="I798" s="40"/>
      <c r="J798" s="41"/>
      <c r="K798" s="40"/>
      <c r="N798" s="42"/>
      <c r="V798" s="40"/>
    </row>
    <row r="799" ht="12.75" customHeight="1">
      <c r="H799" s="40"/>
      <c r="I799" s="40"/>
      <c r="J799" s="41"/>
      <c r="K799" s="40"/>
      <c r="N799" s="42"/>
      <c r="V799" s="40"/>
    </row>
    <row r="800" ht="12.75" customHeight="1">
      <c r="H800" s="40"/>
      <c r="I800" s="40"/>
      <c r="J800" s="41"/>
      <c r="K800" s="40"/>
      <c r="N800" s="42"/>
      <c r="V800" s="40"/>
    </row>
    <row r="801" ht="12.75" customHeight="1">
      <c r="H801" s="40"/>
      <c r="I801" s="40"/>
      <c r="J801" s="41"/>
      <c r="K801" s="40"/>
      <c r="N801" s="42"/>
      <c r="V801" s="40"/>
    </row>
    <row r="802" ht="12.75" customHeight="1">
      <c r="H802" s="40"/>
      <c r="I802" s="40"/>
      <c r="J802" s="41"/>
      <c r="K802" s="40"/>
      <c r="N802" s="42"/>
      <c r="V802" s="40"/>
    </row>
    <row r="803" ht="12.75" customHeight="1">
      <c r="H803" s="40"/>
      <c r="I803" s="40"/>
      <c r="J803" s="41"/>
      <c r="K803" s="40"/>
      <c r="N803" s="42"/>
      <c r="V803" s="40"/>
    </row>
    <row r="804" ht="12.75" customHeight="1">
      <c r="H804" s="40"/>
      <c r="I804" s="40"/>
      <c r="J804" s="41"/>
      <c r="K804" s="40"/>
      <c r="N804" s="42"/>
      <c r="V804" s="40"/>
    </row>
    <row r="805" ht="12.75" customHeight="1">
      <c r="H805" s="40"/>
      <c r="I805" s="40"/>
      <c r="J805" s="41"/>
      <c r="K805" s="40"/>
      <c r="N805" s="42"/>
      <c r="V805" s="40"/>
    </row>
    <row r="806" ht="12.75" customHeight="1">
      <c r="H806" s="40"/>
      <c r="I806" s="40"/>
      <c r="J806" s="41"/>
      <c r="K806" s="40"/>
      <c r="N806" s="42"/>
      <c r="V806" s="40"/>
    </row>
    <row r="807" ht="12.75" customHeight="1">
      <c r="H807" s="40"/>
      <c r="I807" s="40"/>
      <c r="J807" s="41"/>
      <c r="K807" s="40"/>
      <c r="N807" s="42"/>
      <c r="V807" s="40"/>
    </row>
    <row r="808" ht="12.75" customHeight="1">
      <c r="H808" s="40"/>
      <c r="I808" s="40"/>
      <c r="J808" s="41"/>
      <c r="K808" s="40"/>
      <c r="N808" s="42"/>
      <c r="V808" s="40"/>
    </row>
    <row r="809" ht="12.75" customHeight="1">
      <c r="H809" s="40"/>
      <c r="I809" s="40"/>
      <c r="J809" s="41"/>
      <c r="K809" s="40"/>
      <c r="N809" s="42"/>
      <c r="V809" s="40"/>
    </row>
    <row r="810" ht="12.75" customHeight="1">
      <c r="H810" s="40"/>
      <c r="I810" s="40"/>
      <c r="J810" s="41"/>
      <c r="K810" s="40"/>
      <c r="N810" s="42"/>
      <c r="V810" s="40"/>
    </row>
    <row r="811" ht="12.75" customHeight="1">
      <c r="H811" s="40"/>
      <c r="I811" s="40"/>
      <c r="J811" s="41"/>
      <c r="K811" s="40"/>
      <c r="N811" s="42"/>
      <c r="V811" s="40"/>
    </row>
    <row r="812" ht="12.75" customHeight="1">
      <c r="H812" s="40"/>
      <c r="I812" s="40"/>
      <c r="J812" s="41"/>
      <c r="K812" s="40"/>
      <c r="N812" s="42"/>
      <c r="V812" s="40"/>
    </row>
    <row r="813" ht="12.75" customHeight="1">
      <c r="H813" s="40"/>
      <c r="I813" s="40"/>
      <c r="J813" s="41"/>
      <c r="K813" s="40"/>
      <c r="N813" s="42"/>
      <c r="V813" s="40"/>
    </row>
    <row r="814" ht="12.75" customHeight="1">
      <c r="H814" s="40"/>
      <c r="I814" s="40"/>
      <c r="J814" s="41"/>
      <c r="K814" s="40"/>
      <c r="N814" s="42"/>
      <c r="V814" s="40"/>
    </row>
    <row r="815" ht="12.75" customHeight="1">
      <c r="H815" s="40"/>
      <c r="I815" s="40"/>
      <c r="J815" s="41"/>
      <c r="K815" s="40"/>
      <c r="N815" s="42"/>
      <c r="V815" s="40"/>
    </row>
    <row r="816" ht="12.75" customHeight="1">
      <c r="H816" s="40"/>
      <c r="I816" s="40"/>
      <c r="J816" s="41"/>
      <c r="K816" s="40"/>
      <c r="N816" s="42"/>
      <c r="V816" s="40"/>
    </row>
    <row r="817" ht="12.75" customHeight="1">
      <c r="H817" s="40"/>
      <c r="I817" s="40"/>
      <c r="J817" s="41"/>
      <c r="K817" s="40"/>
      <c r="N817" s="42"/>
      <c r="V817" s="40"/>
    </row>
    <row r="818" ht="12.75" customHeight="1">
      <c r="H818" s="40"/>
      <c r="I818" s="40"/>
      <c r="J818" s="41"/>
      <c r="K818" s="40"/>
      <c r="N818" s="42"/>
      <c r="V818" s="40"/>
    </row>
    <row r="819" ht="12.75" customHeight="1">
      <c r="H819" s="40"/>
      <c r="I819" s="40"/>
      <c r="J819" s="41"/>
      <c r="K819" s="40"/>
      <c r="N819" s="42"/>
      <c r="V819" s="40"/>
    </row>
    <row r="820" ht="12.75" customHeight="1">
      <c r="H820" s="40"/>
      <c r="I820" s="40"/>
      <c r="J820" s="41"/>
      <c r="K820" s="40"/>
      <c r="N820" s="42"/>
      <c r="V820" s="40"/>
    </row>
    <row r="821" ht="12.75" customHeight="1">
      <c r="H821" s="40"/>
      <c r="I821" s="40"/>
      <c r="J821" s="41"/>
      <c r="K821" s="40"/>
      <c r="N821" s="42"/>
      <c r="V821" s="40"/>
    </row>
    <row r="822" ht="12.75" customHeight="1">
      <c r="H822" s="40"/>
      <c r="I822" s="40"/>
      <c r="J822" s="41"/>
      <c r="K822" s="40"/>
      <c r="N822" s="42"/>
      <c r="V822" s="40"/>
    </row>
    <row r="823" ht="12.75" customHeight="1">
      <c r="H823" s="40"/>
      <c r="I823" s="40"/>
      <c r="J823" s="41"/>
      <c r="K823" s="40"/>
      <c r="N823" s="42"/>
      <c r="V823" s="40"/>
    </row>
    <row r="824" ht="12.75" customHeight="1">
      <c r="H824" s="40"/>
      <c r="I824" s="40"/>
      <c r="J824" s="41"/>
      <c r="K824" s="40"/>
      <c r="N824" s="42"/>
      <c r="V824" s="40"/>
    </row>
    <row r="825" ht="12.75" customHeight="1">
      <c r="H825" s="40"/>
      <c r="I825" s="40"/>
      <c r="J825" s="41"/>
      <c r="K825" s="40"/>
      <c r="N825" s="42"/>
      <c r="V825" s="40"/>
    </row>
    <row r="826" ht="12.75" customHeight="1">
      <c r="H826" s="40"/>
      <c r="I826" s="40"/>
      <c r="J826" s="41"/>
      <c r="K826" s="40"/>
      <c r="N826" s="42"/>
      <c r="V826" s="40"/>
    </row>
    <row r="827" ht="12.75" customHeight="1">
      <c r="H827" s="40"/>
      <c r="I827" s="40"/>
      <c r="J827" s="41"/>
      <c r="K827" s="40"/>
      <c r="N827" s="42"/>
      <c r="V827" s="40"/>
    </row>
    <row r="828" ht="12.75" customHeight="1">
      <c r="H828" s="40"/>
      <c r="I828" s="40"/>
      <c r="J828" s="41"/>
      <c r="K828" s="40"/>
      <c r="N828" s="42"/>
      <c r="V828" s="40"/>
    </row>
    <row r="829" ht="12.75" customHeight="1">
      <c r="H829" s="40"/>
      <c r="I829" s="40"/>
      <c r="J829" s="41"/>
      <c r="K829" s="40"/>
      <c r="N829" s="42"/>
      <c r="V829" s="40"/>
    </row>
    <row r="830" ht="12.75" customHeight="1">
      <c r="H830" s="40"/>
      <c r="I830" s="40"/>
      <c r="J830" s="41"/>
      <c r="K830" s="40"/>
      <c r="N830" s="42"/>
      <c r="V830" s="40"/>
    </row>
    <row r="831" ht="12.75" customHeight="1">
      <c r="H831" s="40"/>
      <c r="I831" s="40"/>
      <c r="J831" s="41"/>
      <c r="K831" s="40"/>
      <c r="N831" s="42"/>
      <c r="V831" s="40"/>
    </row>
    <row r="832" ht="12.75" customHeight="1">
      <c r="H832" s="40"/>
      <c r="I832" s="40"/>
      <c r="J832" s="41"/>
      <c r="K832" s="40"/>
      <c r="N832" s="42"/>
      <c r="V832" s="40"/>
    </row>
    <row r="833" ht="12.75" customHeight="1">
      <c r="H833" s="40"/>
      <c r="I833" s="40"/>
      <c r="J833" s="41"/>
      <c r="K833" s="40"/>
      <c r="N833" s="42"/>
      <c r="V833" s="40"/>
    </row>
    <row r="834" ht="12.75" customHeight="1">
      <c r="H834" s="40"/>
      <c r="I834" s="40"/>
      <c r="J834" s="41"/>
      <c r="K834" s="40"/>
      <c r="N834" s="42"/>
      <c r="V834" s="40"/>
    </row>
    <row r="835" ht="12.75" customHeight="1">
      <c r="H835" s="40"/>
      <c r="I835" s="40"/>
      <c r="J835" s="41"/>
      <c r="K835" s="40"/>
      <c r="N835" s="42"/>
      <c r="V835" s="40"/>
    </row>
    <row r="836" ht="12.75" customHeight="1">
      <c r="H836" s="40"/>
      <c r="I836" s="40"/>
      <c r="J836" s="41"/>
      <c r="K836" s="40"/>
      <c r="N836" s="42"/>
      <c r="V836" s="40"/>
    </row>
    <row r="837" ht="12.75" customHeight="1">
      <c r="H837" s="40"/>
      <c r="I837" s="40"/>
      <c r="J837" s="41"/>
      <c r="K837" s="40"/>
      <c r="N837" s="42"/>
      <c r="V837" s="40"/>
    </row>
    <row r="838" ht="12.75" customHeight="1">
      <c r="H838" s="40"/>
      <c r="I838" s="40"/>
      <c r="J838" s="41"/>
      <c r="K838" s="40"/>
      <c r="N838" s="42"/>
      <c r="V838" s="40"/>
    </row>
    <row r="839" ht="12.75" customHeight="1">
      <c r="H839" s="40"/>
      <c r="I839" s="40"/>
      <c r="J839" s="41"/>
      <c r="K839" s="40"/>
      <c r="N839" s="42"/>
      <c r="V839" s="40"/>
    </row>
    <row r="840" ht="12.75" customHeight="1">
      <c r="H840" s="40"/>
      <c r="I840" s="40"/>
      <c r="J840" s="41"/>
      <c r="K840" s="40"/>
      <c r="N840" s="42"/>
      <c r="V840" s="40"/>
    </row>
    <row r="841" ht="12.75" customHeight="1">
      <c r="H841" s="40"/>
      <c r="I841" s="40"/>
      <c r="J841" s="41"/>
      <c r="K841" s="40"/>
      <c r="N841" s="42"/>
      <c r="V841" s="40"/>
    </row>
    <row r="842" ht="12.75" customHeight="1">
      <c r="H842" s="40"/>
      <c r="I842" s="40"/>
      <c r="J842" s="41"/>
      <c r="K842" s="40"/>
      <c r="N842" s="42"/>
      <c r="V842" s="40"/>
    </row>
    <row r="843" ht="12.75" customHeight="1">
      <c r="H843" s="40"/>
      <c r="I843" s="40"/>
      <c r="J843" s="41"/>
      <c r="K843" s="40"/>
      <c r="N843" s="42"/>
      <c r="V843" s="40"/>
    </row>
    <row r="844" ht="12.75" customHeight="1">
      <c r="H844" s="40"/>
      <c r="I844" s="40"/>
      <c r="J844" s="41"/>
      <c r="K844" s="40"/>
      <c r="N844" s="42"/>
      <c r="V844" s="40"/>
    </row>
    <row r="845" ht="12.75" customHeight="1">
      <c r="H845" s="40"/>
      <c r="I845" s="40"/>
      <c r="J845" s="41"/>
      <c r="K845" s="40"/>
      <c r="N845" s="42"/>
      <c r="V845" s="40"/>
    </row>
    <row r="846" ht="12.75" customHeight="1">
      <c r="H846" s="40"/>
      <c r="I846" s="40"/>
      <c r="J846" s="41"/>
      <c r="K846" s="40"/>
      <c r="N846" s="42"/>
      <c r="V846" s="40"/>
    </row>
    <row r="847" ht="12.75" customHeight="1">
      <c r="H847" s="40"/>
      <c r="I847" s="40"/>
      <c r="J847" s="41"/>
      <c r="K847" s="40"/>
      <c r="N847" s="42"/>
      <c r="V847" s="40"/>
    </row>
    <row r="848" ht="12.75" customHeight="1">
      <c r="H848" s="40"/>
      <c r="I848" s="40"/>
      <c r="J848" s="41"/>
      <c r="K848" s="40"/>
      <c r="N848" s="42"/>
      <c r="V848" s="40"/>
    </row>
    <row r="849" ht="12.75" customHeight="1">
      <c r="H849" s="40"/>
      <c r="I849" s="40"/>
      <c r="J849" s="41"/>
      <c r="K849" s="40"/>
      <c r="N849" s="42"/>
      <c r="V849" s="40"/>
    </row>
    <row r="850" ht="12.75" customHeight="1">
      <c r="H850" s="40"/>
      <c r="I850" s="40"/>
      <c r="J850" s="41"/>
      <c r="K850" s="40"/>
      <c r="N850" s="42"/>
      <c r="V850" s="40"/>
    </row>
    <row r="851" ht="12.75" customHeight="1">
      <c r="H851" s="40"/>
      <c r="I851" s="40"/>
      <c r="J851" s="41"/>
      <c r="K851" s="40"/>
      <c r="N851" s="42"/>
      <c r="V851" s="40"/>
    </row>
    <row r="852" ht="12.75" customHeight="1">
      <c r="H852" s="40"/>
      <c r="I852" s="40"/>
      <c r="J852" s="41"/>
      <c r="K852" s="40"/>
      <c r="N852" s="42"/>
      <c r="V852" s="40"/>
    </row>
    <row r="853" ht="12.75" customHeight="1">
      <c r="H853" s="40"/>
      <c r="I853" s="40"/>
      <c r="J853" s="41"/>
      <c r="K853" s="40"/>
      <c r="N853" s="42"/>
      <c r="V853" s="40"/>
    </row>
    <row r="854" ht="12.75" customHeight="1">
      <c r="H854" s="40"/>
      <c r="I854" s="40"/>
      <c r="J854" s="41"/>
      <c r="K854" s="40"/>
      <c r="N854" s="42"/>
      <c r="V854" s="40"/>
    </row>
    <row r="855" ht="12.75" customHeight="1">
      <c r="H855" s="40"/>
      <c r="I855" s="40"/>
      <c r="J855" s="41"/>
      <c r="K855" s="40"/>
      <c r="N855" s="42"/>
      <c r="V855" s="40"/>
    </row>
    <row r="856" ht="12.75" customHeight="1">
      <c r="H856" s="40"/>
      <c r="I856" s="40"/>
      <c r="J856" s="41"/>
      <c r="K856" s="40"/>
      <c r="N856" s="42"/>
      <c r="V856" s="40"/>
    </row>
    <row r="857" ht="12.75" customHeight="1">
      <c r="H857" s="40"/>
      <c r="I857" s="40"/>
      <c r="J857" s="41"/>
      <c r="K857" s="40"/>
      <c r="N857" s="42"/>
      <c r="V857" s="40"/>
    </row>
    <row r="858" ht="12.75" customHeight="1">
      <c r="H858" s="40"/>
      <c r="I858" s="40"/>
      <c r="J858" s="41"/>
      <c r="K858" s="40"/>
      <c r="N858" s="42"/>
      <c r="V858" s="40"/>
    </row>
    <row r="859" ht="12.75" customHeight="1">
      <c r="H859" s="40"/>
      <c r="I859" s="40"/>
      <c r="J859" s="41"/>
      <c r="K859" s="40"/>
      <c r="N859" s="42"/>
      <c r="V859" s="40"/>
    </row>
    <row r="860" ht="12.75" customHeight="1">
      <c r="H860" s="40"/>
      <c r="I860" s="40"/>
      <c r="J860" s="41"/>
      <c r="K860" s="40"/>
      <c r="N860" s="42"/>
      <c r="V860" s="40"/>
    </row>
    <row r="861" ht="12.75" customHeight="1">
      <c r="H861" s="40"/>
      <c r="I861" s="40"/>
      <c r="J861" s="41"/>
      <c r="K861" s="40"/>
      <c r="N861" s="42"/>
      <c r="V861" s="40"/>
    </row>
    <row r="862" ht="12.75" customHeight="1">
      <c r="H862" s="40"/>
      <c r="I862" s="40"/>
      <c r="J862" s="41"/>
      <c r="K862" s="40"/>
      <c r="N862" s="42"/>
      <c r="V862" s="40"/>
    </row>
    <row r="863" ht="12.75" customHeight="1">
      <c r="H863" s="40"/>
      <c r="I863" s="40"/>
      <c r="J863" s="41"/>
      <c r="K863" s="40"/>
      <c r="N863" s="42"/>
      <c r="V863" s="40"/>
    </row>
    <row r="864" ht="12.75" customHeight="1">
      <c r="H864" s="40"/>
      <c r="I864" s="40"/>
      <c r="J864" s="41"/>
      <c r="K864" s="40"/>
      <c r="N864" s="42"/>
      <c r="V864" s="40"/>
    </row>
    <row r="865" ht="12.75" customHeight="1">
      <c r="H865" s="40"/>
      <c r="I865" s="40"/>
      <c r="J865" s="41"/>
      <c r="K865" s="40"/>
      <c r="N865" s="42"/>
      <c r="V865" s="40"/>
    </row>
    <row r="866" ht="12.75" customHeight="1">
      <c r="H866" s="40"/>
      <c r="I866" s="40"/>
      <c r="J866" s="41"/>
      <c r="K866" s="40"/>
      <c r="N866" s="42"/>
      <c r="V866" s="40"/>
    </row>
    <row r="867" ht="12.75" customHeight="1">
      <c r="H867" s="40"/>
      <c r="I867" s="40"/>
      <c r="J867" s="41"/>
      <c r="K867" s="40"/>
      <c r="N867" s="42"/>
      <c r="V867" s="40"/>
    </row>
    <row r="868" ht="12.75" customHeight="1">
      <c r="H868" s="40"/>
      <c r="I868" s="40"/>
      <c r="J868" s="41"/>
      <c r="K868" s="40"/>
      <c r="N868" s="42"/>
      <c r="V868" s="40"/>
    </row>
    <row r="869" ht="12.75" customHeight="1">
      <c r="H869" s="40"/>
      <c r="I869" s="40"/>
      <c r="J869" s="41"/>
      <c r="K869" s="40"/>
      <c r="N869" s="42"/>
      <c r="V869" s="40"/>
    </row>
    <row r="870" ht="12.75" customHeight="1">
      <c r="H870" s="40"/>
      <c r="I870" s="40"/>
      <c r="J870" s="41"/>
      <c r="K870" s="40"/>
      <c r="N870" s="42"/>
      <c r="V870" s="40"/>
    </row>
    <row r="871" ht="12.75" customHeight="1">
      <c r="H871" s="40"/>
      <c r="I871" s="40"/>
      <c r="J871" s="41"/>
      <c r="K871" s="40"/>
      <c r="N871" s="42"/>
      <c r="V871" s="40"/>
    </row>
    <row r="872" ht="12.75" customHeight="1">
      <c r="H872" s="40"/>
      <c r="I872" s="40"/>
      <c r="J872" s="41"/>
      <c r="K872" s="40"/>
      <c r="N872" s="42"/>
      <c r="V872" s="40"/>
    </row>
    <row r="873" ht="12.75" customHeight="1">
      <c r="H873" s="40"/>
      <c r="I873" s="40"/>
      <c r="J873" s="41"/>
      <c r="K873" s="40"/>
      <c r="N873" s="42"/>
      <c r="V873" s="40"/>
    </row>
    <row r="874" ht="12.75" customHeight="1">
      <c r="H874" s="40"/>
      <c r="I874" s="40"/>
      <c r="J874" s="41"/>
      <c r="K874" s="40"/>
      <c r="N874" s="42"/>
      <c r="V874" s="40"/>
    </row>
    <row r="875" ht="12.75" customHeight="1">
      <c r="H875" s="40"/>
      <c r="I875" s="40"/>
      <c r="J875" s="41"/>
      <c r="K875" s="40"/>
      <c r="N875" s="42"/>
      <c r="V875" s="40"/>
    </row>
    <row r="876" ht="12.75" customHeight="1">
      <c r="H876" s="40"/>
      <c r="I876" s="40"/>
      <c r="J876" s="41"/>
      <c r="K876" s="40"/>
      <c r="N876" s="42"/>
      <c r="V876" s="40"/>
    </row>
    <row r="877" ht="12.75" customHeight="1">
      <c r="H877" s="40"/>
      <c r="I877" s="40"/>
      <c r="J877" s="41"/>
      <c r="K877" s="40"/>
      <c r="N877" s="42"/>
      <c r="V877" s="40"/>
    </row>
    <row r="878" ht="12.75" customHeight="1">
      <c r="H878" s="40"/>
      <c r="I878" s="40"/>
      <c r="J878" s="41"/>
      <c r="K878" s="40"/>
      <c r="N878" s="42"/>
      <c r="V878" s="40"/>
    </row>
    <row r="879" ht="12.75" customHeight="1">
      <c r="H879" s="40"/>
      <c r="I879" s="40"/>
      <c r="J879" s="41"/>
      <c r="K879" s="40"/>
      <c r="N879" s="42"/>
      <c r="V879" s="40"/>
    </row>
    <row r="880" ht="12.75" customHeight="1">
      <c r="H880" s="40"/>
      <c r="I880" s="40"/>
      <c r="J880" s="41"/>
      <c r="K880" s="40"/>
      <c r="N880" s="42"/>
      <c r="V880" s="40"/>
    </row>
    <row r="881" ht="12.75" customHeight="1">
      <c r="H881" s="40"/>
      <c r="I881" s="40"/>
      <c r="J881" s="41"/>
      <c r="K881" s="40"/>
      <c r="N881" s="42"/>
      <c r="V881" s="40"/>
    </row>
    <row r="882" ht="12.75" customHeight="1">
      <c r="H882" s="40"/>
      <c r="I882" s="40"/>
      <c r="J882" s="41"/>
      <c r="K882" s="40"/>
      <c r="N882" s="42"/>
      <c r="V882" s="40"/>
    </row>
    <row r="883" ht="12.75" customHeight="1">
      <c r="H883" s="40"/>
      <c r="I883" s="40"/>
      <c r="J883" s="41"/>
      <c r="K883" s="40"/>
      <c r="N883" s="42"/>
      <c r="V883" s="40"/>
    </row>
    <row r="884" ht="12.75" customHeight="1">
      <c r="H884" s="40"/>
      <c r="I884" s="40"/>
      <c r="J884" s="41"/>
      <c r="K884" s="40"/>
      <c r="N884" s="42"/>
      <c r="V884" s="40"/>
    </row>
    <row r="885" ht="12.75" customHeight="1">
      <c r="H885" s="40"/>
      <c r="I885" s="40"/>
      <c r="J885" s="41"/>
      <c r="K885" s="40"/>
      <c r="N885" s="42"/>
      <c r="V885" s="40"/>
    </row>
    <row r="886" ht="12.75" customHeight="1">
      <c r="H886" s="40"/>
      <c r="I886" s="40"/>
      <c r="J886" s="41"/>
      <c r="K886" s="40"/>
      <c r="N886" s="42"/>
      <c r="V886" s="40"/>
    </row>
    <row r="887" ht="12.75" customHeight="1">
      <c r="H887" s="40"/>
      <c r="I887" s="40"/>
      <c r="J887" s="41"/>
      <c r="K887" s="40"/>
      <c r="N887" s="42"/>
      <c r="V887" s="40"/>
    </row>
    <row r="888" ht="12.75" customHeight="1">
      <c r="H888" s="40"/>
      <c r="I888" s="40"/>
      <c r="J888" s="41"/>
      <c r="K888" s="40"/>
      <c r="N888" s="42"/>
      <c r="V888" s="40"/>
    </row>
    <row r="889" ht="12.75" customHeight="1">
      <c r="H889" s="40"/>
      <c r="I889" s="40"/>
      <c r="J889" s="41"/>
      <c r="K889" s="40"/>
      <c r="N889" s="42"/>
      <c r="V889" s="40"/>
    </row>
    <row r="890" ht="12.75" customHeight="1">
      <c r="H890" s="40"/>
      <c r="I890" s="40"/>
      <c r="J890" s="41"/>
      <c r="K890" s="40"/>
      <c r="N890" s="42"/>
      <c r="V890" s="40"/>
    </row>
    <row r="891" ht="12.75" customHeight="1">
      <c r="H891" s="40"/>
      <c r="I891" s="40"/>
      <c r="J891" s="41"/>
      <c r="K891" s="40"/>
      <c r="N891" s="42"/>
      <c r="V891" s="40"/>
    </row>
    <row r="892" ht="12.75" customHeight="1">
      <c r="H892" s="40"/>
      <c r="I892" s="40"/>
      <c r="J892" s="41"/>
      <c r="K892" s="40"/>
      <c r="N892" s="42"/>
      <c r="V892" s="40"/>
    </row>
    <row r="893" ht="12.75" customHeight="1">
      <c r="H893" s="40"/>
      <c r="I893" s="40"/>
      <c r="J893" s="41"/>
      <c r="K893" s="40"/>
      <c r="N893" s="42"/>
      <c r="V893" s="40"/>
    </row>
    <row r="894" ht="12.75" customHeight="1">
      <c r="H894" s="40"/>
      <c r="I894" s="40"/>
      <c r="J894" s="41"/>
      <c r="K894" s="40"/>
      <c r="N894" s="42"/>
      <c r="V894" s="40"/>
    </row>
    <row r="895" ht="12.75" customHeight="1">
      <c r="H895" s="40"/>
      <c r="I895" s="40"/>
      <c r="J895" s="41"/>
      <c r="K895" s="40"/>
      <c r="N895" s="42"/>
      <c r="V895" s="40"/>
    </row>
    <row r="896" ht="12.75" customHeight="1">
      <c r="H896" s="40"/>
      <c r="I896" s="40"/>
      <c r="J896" s="41"/>
      <c r="K896" s="40"/>
      <c r="N896" s="42"/>
      <c r="V896" s="40"/>
    </row>
    <row r="897" ht="12.75" customHeight="1">
      <c r="H897" s="40"/>
      <c r="I897" s="40"/>
      <c r="J897" s="41"/>
      <c r="K897" s="40"/>
      <c r="N897" s="42"/>
      <c r="V897" s="40"/>
    </row>
    <row r="898" ht="12.75" customHeight="1">
      <c r="H898" s="40"/>
      <c r="I898" s="40"/>
      <c r="J898" s="41"/>
      <c r="K898" s="40"/>
      <c r="N898" s="42"/>
      <c r="V898" s="40"/>
    </row>
    <row r="899" ht="12.75" customHeight="1">
      <c r="H899" s="40"/>
      <c r="I899" s="40"/>
      <c r="J899" s="41"/>
      <c r="K899" s="40"/>
      <c r="N899" s="42"/>
      <c r="V899" s="40"/>
    </row>
    <row r="900" ht="12.75" customHeight="1">
      <c r="H900" s="40"/>
      <c r="I900" s="40"/>
      <c r="J900" s="41"/>
      <c r="K900" s="40"/>
      <c r="N900" s="42"/>
      <c r="V900" s="40"/>
    </row>
    <row r="901" ht="12.75" customHeight="1">
      <c r="H901" s="40"/>
      <c r="I901" s="40"/>
      <c r="J901" s="41"/>
      <c r="K901" s="40"/>
      <c r="N901" s="42"/>
      <c r="V901" s="40"/>
    </row>
    <row r="902" ht="12.75" customHeight="1">
      <c r="H902" s="40"/>
      <c r="I902" s="40"/>
      <c r="J902" s="41"/>
      <c r="K902" s="40"/>
      <c r="N902" s="42"/>
      <c r="V902" s="40"/>
    </row>
    <row r="903" ht="12.75" customHeight="1">
      <c r="H903" s="40"/>
      <c r="I903" s="40"/>
      <c r="J903" s="41"/>
      <c r="K903" s="40"/>
      <c r="N903" s="42"/>
      <c r="V903" s="40"/>
    </row>
    <row r="904" ht="12.75" customHeight="1">
      <c r="H904" s="40"/>
      <c r="I904" s="40"/>
      <c r="J904" s="41"/>
      <c r="K904" s="40"/>
      <c r="N904" s="42"/>
      <c r="V904" s="40"/>
    </row>
    <row r="905" ht="12.75" customHeight="1">
      <c r="H905" s="40"/>
      <c r="I905" s="40"/>
      <c r="J905" s="41"/>
      <c r="K905" s="40"/>
      <c r="N905" s="42"/>
      <c r="V905" s="40"/>
    </row>
    <row r="906" ht="12.75" customHeight="1">
      <c r="H906" s="40"/>
      <c r="I906" s="40"/>
      <c r="J906" s="41"/>
      <c r="K906" s="40"/>
      <c r="N906" s="42"/>
      <c r="V906" s="40"/>
    </row>
    <row r="907" ht="12.75" customHeight="1">
      <c r="H907" s="40"/>
      <c r="I907" s="40"/>
      <c r="J907" s="41"/>
      <c r="K907" s="40"/>
      <c r="N907" s="42"/>
      <c r="V907" s="40"/>
    </row>
    <row r="908" ht="12.75" customHeight="1">
      <c r="H908" s="40"/>
      <c r="I908" s="40"/>
      <c r="J908" s="41"/>
      <c r="K908" s="40"/>
      <c r="N908" s="42"/>
      <c r="V908" s="40"/>
    </row>
    <row r="909" ht="12.75" customHeight="1">
      <c r="H909" s="40"/>
      <c r="I909" s="40"/>
      <c r="J909" s="41"/>
      <c r="K909" s="40"/>
      <c r="N909" s="42"/>
      <c r="V909" s="40"/>
    </row>
    <row r="910" ht="12.75" customHeight="1">
      <c r="H910" s="40"/>
      <c r="I910" s="40"/>
      <c r="J910" s="41"/>
      <c r="K910" s="40"/>
      <c r="N910" s="42"/>
      <c r="V910" s="40"/>
    </row>
    <row r="911" ht="12.75" customHeight="1">
      <c r="H911" s="40"/>
      <c r="I911" s="40"/>
      <c r="J911" s="41"/>
      <c r="K911" s="40"/>
      <c r="N911" s="42"/>
      <c r="V911" s="40"/>
    </row>
    <row r="912" ht="12.75" customHeight="1">
      <c r="H912" s="40"/>
      <c r="I912" s="40"/>
      <c r="J912" s="41"/>
      <c r="K912" s="40"/>
      <c r="N912" s="42"/>
      <c r="V912" s="40"/>
    </row>
    <row r="913" ht="12.75" customHeight="1">
      <c r="H913" s="40"/>
      <c r="I913" s="40"/>
      <c r="J913" s="41"/>
      <c r="K913" s="40"/>
      <c r="N913" s="42"/>
      <c r="V913" s="40"/>
    </row>
    <row r="914" ht="12.75" customHeight="1">
      <c r="H914" s="40"/>
      <c r="I914" s="40"/>
      <c r="J914" s="41"/>
      <c r="K914" s="40"/>
      <c r="N914" s="42"/>
      <c r="V914" s="40"/>
    </row>
    <row r="915" ht="12.75" customHeight="1">
      <c r="H915" s="40"/>
      <c r="I915" s="40"/>
      <c r="J915" s="41"/>
      <c r="K915" s="40"/>
      <c r="N915" s="42"/>
      <c r="V915" s="40"/>
    </row>
    <row r="916" ht="12.75" customHeight="1">
      <c r="H916" s="40"/>
      <c r="I916" s="40"/>
      <c r="J916" s="41"/>
      <c r="K916" s="40"/>
      <c r="N916" s="42"/>
      <c r="V916" s="40"/>
    </row>
    <row r="917" ht="12.75" customHeight="1">
      <c r="H917" s="40"/>
      <c r="I917" s="40"/>
      <c r="J917" s="41"/>
      <c r="K917" s="40"/>
      <c r="N917" s="42"/>
      <c r="V917" s="40"/>
    </row>
    <row r="918" ht="12.75" customHeight="1">
      <c r="H918" s="40"/>
      <c r="I918" s="40"/>
      <c r="J918" s="41"/>
      <c r="K918" s="40"/>
      <c r="N918" s="42"/>
      <c r="V918" s="40"/>
    </row>
    <row r="919" ht="12.75" customHeight="1">
      <c r="H919" s="40"/>
      <c r="I919" s="40"/>
      <c r="J919" s="41"/>
      <c r="K919" s="40"/>
      <c r="N919" s="42"/>
      <c r="V919" s="40"/>
    </row>
    <row r="920" ht="12.75" customHeight="1">
      <c r="H920" s="40"/>
      <c r="I920" s="40"/>
      <c r="J920" s="41"/>
      <c r="K920" s="40"/>
      <c r="N920" s="42"/>
      <c r="V920" s="40"/>
    </row>
    <row r="921" ht="12.75" customHeight="1">
      <c r="H921" s="40"/>
      <c r="I921" s="40"/>
      <c r="J921" s="41"/>
      <c r="K921" s="40"/>
      <c r="N921" s="42"/>
      <c r="V921" s="40"/>
    </row>
    <row r="922" ht="12.75" customHeight="1">
      <c r="H922" s="40"/>
      <c r="I922" s="40"/>
      <c r="J922" s="41"/>
      <c r="K922" s="40"/>
      <c r="N922" s="42"/>
      <c r="V922" s="40"/>
    </row>
    <row r="923" ht="12.75" customHeight="1">
      <c r="H923" s="40"/>
      <c r="I923" s="40"/>
      <c r="J923" s="41"/>
      <c r="K923" s="40"/>
      <c r="N923" s="42"/>
      <c r="V923" s="40"/>
    </row>
    <row r="924" ht="12.75" customHeight="1">
      <c r="H924" s="40"/>
      <c r="I924" s="40"/>
      <c r="J924" s="41"/>
      <c r="K924" s="40"/>
      <c r="N924" s="42"/>
      <c r="V924" s="40"/>
    </row>
    <row r="925" ht="12.75" customHeight="1">
      <c r="H925" s="40"/>
      <c r="I925" s="40"/>
      <c r="J925" s="41"/>
      <c r="K925" s="40"/>
      <c r="N925" s="42"/>
      <c r="V925" s="40"/>
    </row>
    <row r="926" ht="12.75" customHeight="1">
      <c r="H926" s="40"/>
      <c r="I926" s="40"/>
      <c r="J926" s="41"/>
      <c r="K926" s="40"/>
      <c r="N926" s="42"/>
      <c r="V926" s="40"/>
    </row>
    <row r="927" ht="12.75" customHeight="1">
      <c r="H927" s="40"/>
      <c r="I927" s="40"/>
      <c r="J927" s="41"/>
      <c r="K927" s="40"/>
      <c r="N927" s="42"/>
      <c r="V927" s="40"/>
    </row>
    <row r="928" ht="12.75" customHeight="1">
      <c r="H928" s="40"/>
      <c r="I928" s="40"/>
      <c r="J928" s="41"/>
      <c r="K928" s="40"/>
      <c r="N928" s="42"/>
      <c r="V928" s="40"/>
    </row>
    <row r="929" ht="12.75" customHeight="1">
      <c r="H929" s="40"/>
      <c r="I929" s="40"/>
      <c r="J929" s="41"/>
      <c r="K929" s="40"/>
      <c r="N929" s="42"/>
      <c r="V929" s="40"/>
    </row>
    <row r="930" ht="12.75" customHeight="1">
      <c r="H930" s="40"/>
      <c r="I930" s="40"/>
      <c r="J930" s="41"/>
      <c r="K930" s="40"/>
      <c r="N930" s="42"/>
      <c r="V930" s="40"/>
    </row>
    <row r="931" ht="12.75" customHeight="1">
      <c r="H931" s="40"/>
      <c r="I931" s="40"/>
      <c r="J931" s="41"/>
      <c r="K931" s="40"/>
      <c r="N931" s="42"/>
      <c r="V931" s="40"/>
    </row>
    <row r="932" ht="12.75" customHeight="1">
      <c r="H932" s="40"/>
      <c r="I932" s="40"/>
      <c r="J932" s="41"/>
      <c r="K932" s="40"/>
      <c r="N932" s="42"/>
      <c r="V932" s="40"/>
    </row>
    <row r="933" ht="12.75" customHeight="1">
      <c r="H933" s="40"/>
      <c r="I933" s="40"/>
      <c r="J933" s="41"/>
      <c r="K933" s="40"/>
      <c r="N933" s="42"/>
      <c r="V933" s="40"/>
    </row>
    <row r="934" ht="12.75" customHeight="1">
      <c r="H934" s="40"/>
      <c r="I934" s="40"/>
      <c r="J934" s="41"/>
      <c r="K934" s="40"/>
      <c r="N934" s="42"/>
      <c r="V934" s="40"/>
    </row>
    <row r="935" ht="12.75" customHeight="1">
      <c r="H935" s="40"/>
      <c r="I935" s="40"/>
      <c r="J935" s="41"/>
      <c r="K935" s="40"/>
      <c r="N935" s="42"/>
      <c r="V935" s="40"/>
    </row>
    <row r="936" ht="12.75" customHeight="1">
      <c r="H936" s="40"/>
      <c r="I936" s="40"/>
      <c r="J936" s="41"/>
      <c r="K936" s="40"/>
      <c r="N936" s="42"/>
      <c r="V936" s="40"/>
    </row>
    <row r="937" ht="12.75" customHeight="1">
      <c r="H937" s="40"/>
      <c r="I937" s="40"/>
      <c r="J937" s="41"/>
      <c r="K937" s="40"/>
      <c r="N937" s="42"/>
      <c r="V937" s="40"/>
    </row>
    <row r="938" ht="12.75" customHeight="1">
      <c r="H938" s="40"/>
      <c r="I938" s="40"/>
      <c r="J938" s="41"/>
      <c r="K938" s="40"/>
      <c r="N938" s="42"/>
      <c r="V938" s="40"/>
    </row>
    <row r="939" ht="12.75" customHeight="1">
      <c r="H939" s="40"/>
      <c r="I939" s="40"/>
      <c r="J939" s="41"/>
      <c r="K939" s="40"/>
      <c r="N939" s="42"/>
      <c r="V939" s="40"/>
    </row>
    <row r="940" ht="12.75" customHeight="1">
      <c r="H940" s="40"/>
      <c r="I940" s="40"/>
      <c r="J940" s="41"/>
      <c r="K940" s="40"/>
      <c r="N940" s="42"/>
      <c r="V940" s="40"/>
    </row>
    <row r="941" ht="12.75" customHeight="1">
      <c r="H941" s="40"/>
      <c r="I941" s="40"/>
      <c r="J941" s="41"/>
      <c r="K941" s="40"/>
      <c r="N941" s="42"/>
      <c r="V941" s="40"/>
    </row>
    <row r="942" ht="12.75" customHeight="1">
      <c r="H942" s="40"/>
      <c r="I942" s="40"/>
      <c r="J942" s="41"/>
      <c r="K942" s="40"/>
      <c r="N942" s="42"/>
      <c r="V942" s="40"/>
    </row>
    <row r="943" ht="12.75" customHeight="1">
      <c r="H943" s="40"/>
      <c r="I943" s="40"/>
      <c r="J943" s="41"/>
      <c r="K943" s="40"/>
      <c r="N943" s="42"/>
      <c r="V943" s="40"/>
    </row>
    <row r="944" ht="12.75" customHeight="1">
      <c r="H944" s="40"/>
      <c r="I944" s="40"/>
      <c r="J944" s="41"/>
      <c r="K944" s="40"/>
      <c r="N944" s="42"/>
      <c r="V944" s="40"/>
    </row>
    <row r="945" ht="12.75" customHeight="1">
      <c r="H945" s="40"/>
      <c r="I945" s="40"/>
      <c r="J945" s="41"/>
      <c r="K945" s="40"/>
      <c r="N945" s="42"/>
      <c r="V945" s="40"/>
    </row>
    <row r="946" ht="12.75" customHeight="1">
      <c r="H946" s="40"/>
      <c r="I946" s="40"/>
      <c r="J946" s="41"/>
      <c r="K946" s="40"/>
      <c r="N946" s="42"/>
      <c r="V946" s="40"/>
    </row>
    <row r="947" ht="12.75" customHeight="1">
      <c r="H947" s="40"/>
      <c r="I947" s="40"/>
      <c r="J947" s="41"/>
      <c r="K947" s="40"/>
      <c r="N947" s="42"/>
      <c r="V947" s="40"/>
    </row>
    <row r="948" ht="12.75" customHeight="1">
      <c r="H948" s="40"/>
      <c r="I948" s="40"/>
      <c r="J948" s="41"/>
      <c r="K948" s="40"/>
      <c r="N948" s="42"/>
      <c r="V948" s="40"/>
    </row>
    <row r="949" ht="12.75" customHeight="1">
      <c r="H949" s="40"/>
      <c r="I949" s="40"/>
      <c r="J949" s="41"/>
      <c r="K949" s="40"/>
      <c r="N949" s="42"/>
      <c r="V949" s="40"/>
    </row>
    <row r="950" ht="12.75" customHeight="1">
      <c r="H950" s="40"/>
      <c r="I950" s="40"/>
      <c r="J950" s="41"/>
      <c r="K950" s="40"/>
      <c r="N950" s="42"/>
      <c r="V950" s="40"/>
    </row>
    <row r="951" ht="12.75" customHeight="1">
      <c r="H951" s="40"/>
      <c r="I951" s="40"/>
      <c r="J951" s="41"/>
      <c r="K951" s="40"/>
      <c r="N951" s="42"/>
      <c r="V951" s="40"/>
    </row>
    <row r="952" ht="12.75" customHeight="1">
      <c r="H952" s="40"/>
      <c r="I952" s="40"/>
      <c r="J952" s="41"/>
      <c r="K952" s="40"/>
      <c r="N952" s="42"/>
      <c r="V952" s="40"/>
    </row>
    <row r="953" ht="12.75" customHeight="1">
      <c r="H953" s="40"/>
      <c r="I953" s="40"/>
      <c r="J953" s="41"/>
      <c r="K953" s="40"/>
      <c r="N953" s="42"/>
      <c r="V953" s="40"/>
    </row>
    <row r="954" ht="12.75" customHeight="1">
      <c r="H954" s="40"/>
      <c r="I954" s="40"/>
      <c r="J954" s="41"/>
      <c r="K954" s="40"/>
      <c r="N954" s="42"/>
      <c r="V954" s="40"/>
    </row>
    <row r="955" ht="12.75" customHeight="1">
      <c r="H955" s="40"/>
      <c r="I955" s="40"/>
      <c r="J955" s="41"/>
      <c r="K955" s="40"/>
      <c r="N955" s="42"/>
      <c r="V955" s="40"/>
    </row>
    <row r="956" ht="12.75" customHeight="1">
      <c r="H956" s="40"/>
      <c r="I956" s="40"/>
      <c r="J956" s="41"/>
      <c r="K956" s="40"/>
      <c r="N956" s="42"/>
      <c r="V956" s="40"/>
    </row>
    <row r="957" ht="12.75" customHeight="1">
      <c r="H957" s="40"/>
      <c r="I957" s="40"/>
      <c r="J957" s="41"/>
      <c r="K957" s="40"/>
      <c r="N957" s="42"/>
      <c r="V957" s="40"/>
    </row>
    <row r="958" ht="12.75" customHeight="1">
      <c r="H958" s="40"/>
      <c r="I958" s="40"/>
      <c r="J958" s="41"/>
      <c r="K958" s="40"/>
      <c r="N958" s="42"/>
      <c r="V958" s="40"/>
    </row>
    <row r="959" ht="12.75" customHeight="1">
      <c r="H959" s="40"/>
      <c r="I959" s="40"/>
      <c r="J959" s="41"/>
      <c r="K959" s="40"/>
      <c r="N959" s="42"/>
      <c r="V959" s="40"/>
    </row>
    <row r="960" ht="12.75" customHeight="1">
      <c r="H960" s="40"/>
      <c r="I960" s="40"/>
      <c r="J960" s="41"/>
      <c r="K960" s="40"/>
      <c r="N960" s="42"/>
      <c r="V960" s="40"/>
    </row>
    <row r="961" ht="12.75" customHeight="1">
      <c r="H961" s="40"/>
      <c r="I961" s="40"/>
      <c r="J961" s="41"/>
      <c r="K961" s="40"/>
      <c r="N961" s="42"/>
      <c r="V961" s="40"/>
    </row>
    <row r="962" ht="12.75" customHeight="1">
      <c r="H962" s="40"/>
      <c r="I962" s="40"/>
      <c r="J962" s="41"/>
      <c r="K962" s="40"/>
      <c r="N962" s="42"/>
      <c r="V962" s="40"/>
    </row>
    <row r="963" ht="12.75" customHeight="1">
      <c r="H963" s="40"/>
      <c r="I963" s="40"/>
      <c r="J963" s="41"/>
      <c r="K963" s="40"/>
      <c r="N963" s="42"/>
      <c r="V963" s="40"/>
    </row>
    <row r="964" ht="12.75" customHeight="1">
      <c r="H964" s="40"/>
      <c r="I964" s="40"/>
      <c r="J964" s="41"/>
      <c r="K964" s="40"/>
      <c r="N964" s="42"/>
      <c r="V964" s="40"/>
    </row>
    <row r="965" ht="12.75" customHeight="1">
      <c r="H965" s="40"/>
      <c r="I965" s="40"/>
      <c r="J965" s="41"/>
      <c r="K965" s="40"/>
      <c r="N965" s="42"/>
      <c r="V965" s="40"/>
    </row>
    <row r="966" ht="12.75" customHeight="1">
      <c r="H966" s="40"/>
      <c r="I966" s="40"/>
      <c r="J966" s="41"/>
      <c r="K966" s="40"/>
      <c r="N966" s="42"/>
      <c r="V966" s="40"/>
    </row>
    <row r="967" ht="12.75" customHeight="1">
      <c r="H967" s="40"/>
      <c r="I967" s="40"/>
      <c r="J967" s="41"/>
      <c r="K967" s="40"/>
      <c r="N967" s="42"/>
      <c r="V967" s="40"/>
    </row>
    <row r="968" ht="12.75" customHeight="1">
      <c r="H968" s="40"/>
      <c r="I968" s="40"/>
      <c r="J968" s="41"/>
      <c r="K968" s="40"/>
      <c r="N968" s="42"/>
      <c r="V968" s="40"/>
    </row>
    <row r="969" ht="12.75" customHeight="1">
      <c r="H969" s="40"/>
      <c r="I969" s="40"/>
      <c r="J969" s="41"/>
      <c r="K969" s="40"/>
      <c r="N969" s="42"/>
      <c r="V969" s="40"/>
    </row>
    <row r="970" ht="12.75" customHeight="1">
      <c r="H970" s="40"/>
      <c r="I970" s="40"/>
      <c r="J970" s="41"/>
      <c r="K970" s="40"/>
      <c r="N970" s="42"/>
      <c r="V970" s="40"/>
    </row>
    <row r="971" ht="12.75" customHeight="1">
      <c r="H971" s="40"/>
      <c r="I971" s="40"/>
      <c r="J971" s="41"/>
      <c r="K971" s="40"/>
      <c r="N971" s="42"/>
      <c r="V971" s="40"/>
    </row>
    <row r="972" ht="12.75" customHeight="1">
      <c r="H972" s="40"/>
      <c r="I972" s="40"/>
      <c r="J972" s="41"/>
      <c r="K972" s="40"/>
      <c r="N972" s="42"/>
      <c r="V972" s="40"/>
    </row>
    <row r="973" ht="12.75" customHeight="1">
      <c r="H973" s="40"/>
      <c r="I973" s="40"/>
      <c r="J973" s="41"/>
      <c r="K973" s="40"/>
      <c r="N973" s="42"/>
      <c r="V973" s="40"/>
    </row>
    <row r="974" ht="12.75" customHeight="1">
      <c r="H974" s="40"/>
      <c r="I974" s="40"/>
      <c r="J974" s="41"/>
      <c r="K974" s="40"/>
      <c r="N974" s="42"/>
      <c r="V974" s="40"/>
    </row>
    <row r="975" ht="12.75" customHeight="1">
      <c r="H975" s="40"/>
      <c r="I975" s="40"/>
      <c r="J975" s="41"/>
      <c r="K975" s="40"/>
      <c r="N975" s="42"/>
      <c r="V975" s="40"/>
    </row>
    <row r="976" ht="12.75" customHeight="1">
      <c r="H976" s="40"/>
      <c r="I976" s="40"/>
      <c r="J976" s="41"/>
      <c r="K976" s="40"/>
      <c r="N976" s="42"/>
      <c r="V976" s="40"/>
    </row>
    <row r="977" ht="12.75" customHeight="1">
      <c r="H977" s="40"/>
      <c r="I977" s="40"/>
      <c r="J977" s="41"/>
      <c r="K977" s="40"/>
      <c r="N977" s="42"/>
      <c r="V977" s="40"/>
    </row>
    <row r="978" ht="12.75" customHeight="1">
      <c r="H978" s="40"/>
      <c r="I978" s="40"/>
      <c r="J978" s="41"/>
      <c r="K978" s="40"/>
      <c r="N978" s="42"/>
      <c r="V978" s="40"/>
    </row>
    <row r="979" ht="12.75" customHeight="1">
      <c r="H979" s="40"/>
      <c r="I979" s="40"/>
      <c r="J979" s="41"/>
      <c r="K979" s="40"/>
      <c r="N979" s="42"/>
      <c r="V979" s="40"/>
    </row>
    <row r="980" ht="12.75" customHeight="1">
      <c r="H980" s="40"/>
      <c r="I980" s="40"/>
      <c r="J980" s="41"/>
      <c r="K980" s="40"/>
      <c r="N980" s="42"/>
      <c r="V980" s="40"/>
    </row>
    <row r="981" ht="12.75" customHeight="1">
      <c r="H981" s="40"/>
      <c r="I981" s="40"/>
      <c r="J981" s="41"/>
      <c r="K981" s="40"/>
      <c r="N981" s="42"/>
      <c r="V981" s="40"/>
    </row>
    <row r="982" ht="12.75" customHeight="1">
      <c r="H982" s="40"/>
      <c r="I982" s="40"/>
      <c r="J982" s="41"/>
      <c r="K982" s="40"/>
      <c r="N982" s="42"/>
      <c r="V982" s="40"/>
    </row>
    <row r="983" ht="12.75" customHeight="1">
      <c r="H983" s="40"/>
      <c r="I983" s="40"/>
      <c r="J983" s="41"/>
      <c r="K983" s="40"/>
      <c r="N983" s="42"/>
      <c r="V983" s="40"/>
    </row>
    <row r="984" ht="12.75" customHeight="1">
      <c r="H984" s="40"/>
      <c r="I984" s="40"/>
      <c r="J984" s="41"/>
      <c r="K984" s="40"/>
      <c r="N984" s="42"/>
      <c r="V984" s="40"/>
    </row>
    <row r="985" ht="12.75" customHeight="1">
      <c r="H985" s="40"/>
      <c r="I985" s="40"/>
      <c r="J985" s="41"/>
      <c r="K985" s="40"/>
      <c r="N985" s="42"/>
      <c r="V985" s="40"/>
    </row>
    <row r="986" ht="12.75" customHeight="1">
      <c r="H986" s="40"/>
      <c r="I986" s="40"/>
      <c r="J986" s="41"/>
      <c r="K986" s="40"/>
      <c r="N986" s="42"/>
      <c r="V986" s="40"/>
    </row>
    <row r="987" ht="12.75" customHeight="1">
      <c r="H987" s="40"/>
      <c r="I987" s="40"/>
      <c r="J987" s="41"/>
      <c r="K987" s="40"/>
      <c r="N987" s="42"/>
      <c r="V987" s="40"/>
    </row>
    <row r="988" ht="12.75" customHeight="1">
      <c r="H988" s="40"/>
      <c r="I988" s="40"/>
      <c r="J988" s="41"/>
      <c r="K988" s="40"/>
      <c r="N988" s="42"/>
      <c r="V988" s="40"/>
    </row>
    <row r="989" ht="12.75" customHeight="1">
      <c r="H989" s="40"/>
      <c r="I989" s="40"/>
      <c r="J989" s="41"/>
      <c r="K989" s="40"/>
      <c r="N989" s="42"/>
      <c r="V989" s="40"/>
    </row>
    <row r="990" ht="12.75" customHeight="1">
      <c r="H990" s="40"/>
      <c r="I990" s="40"/>
      <c r="J990" s="41"/>
      <c r="K990" s="40"/>
      <c r="N990" s="42"/>
      <c r="V990" s="40"/>
    </row>
    <row r="991" ht="12.75" customHeight="1">
      <c r="H991" s="40"/>
      <c r="I991" s="40"/>
      <c r="J991" s="41"/>
      <c r="K991" s="40"/>
      <c r="N991" s="42"/>
      <c r="V991" s="40"/>
    </row>
    <row r="992" ht="12.75" customHeight="1">
      <c r="H992" s="40"/>
      <c r="I992" s="40"/>
      <c r="J992" s="41"/>
      <c r="K992" s="40"/>
      <c r="N992" s="42"/>
      <c r="V992" s="40"/>
    </row>
    <row r="993" ht="12.75" customHeight="1">
      <c r="H993" s="40"/>
      <c r="I993" s="40"/>
      <c r="J993" s="41"/>
      <c r="K993" s="40"/>
      <c r="N993" s="42"/>
      <c r="V993" s="40"/>
    </row>
    <row r="994" ht="12.75" customHeight="1">
      <c r="H994" s="40"/>
      <c r="I994" s="40"/>
      <c r="J994" s="41"/>
      <c r="K994" s="40"/>
      <c r="N994" s="42"/>
      <c r="V994" s="40"/>
    </row>
    <row r="995" ht="12.75" customHeight="1">
      <c r="H995" s="40"/>
      <c r="I995" s="40"/>
      <c r="J995" s="41"/>
      <c r="K995" s="40"/>
      <c r="N995" s="42"/>
      <c r="V995" s="40"/>
    </row>
    <row r="996" ht="12.75" customHeight="1">
      <c r="H996" s="40"/>
      <c r="I996" s="40"/>
      <c r="J996" s="41"/>
      <c r="K996" s="40"/>
      <c r="N996" s="42"/>
      <c r="V996" s="40"/>
    </row>
    <row r="997" ht="12.75" customHeight="1">
      <c r="H997" s="40"/>
      <c r="I997" s="40"/>
      <c r="J997" s="41"/>
      <c r="K997" s="40"/>
      <c r="N997" s="42"/>
      <c r="V997" s="40"/>
    </row>
    <row r="998" ht="12.75" customHeight="1">
      <c r="H998" s="40"/>
      <c r="I998" s="40"/>
      <c r="J998" s="41"/>
      <c r="K998" s="40"/>
      <c r="N998" s="42"/>
      <c r="V998" s="40"/>
    </row>
    <row r="999" ht="12.75" customHeight="1">
      <c r="H999" s="40"/>
      <c r="I999" s="40"/>
      <c r="J999" s="41"/>
      <c r="K999" s="40"/>
      <c r="N999" s="42"/>
      <c r="V999" s="40"/>
    </row>
    <row r="1000" ht="12.75" customHeight="1">
      <c r="H1000" s="40"/>
      <c r="I1000" s="40"/>
      <c r="J1000" s="41"/>
      <c r="K1000" s="40"/>
      <c r="N1000" s="42"/>
      <c r="V1000" s="40"/>
    </row>
    <row r="1001" ht="12.75" customHeight="1">
      <c r="H1001" s="40"/>
      <c r="I1001" s="40"/>
      <c r="J1001" s="41"/>
      <c r="K1001" s="40"/>
      <c r="N1001" s="42"/>
      <c r="V1001" s="40"/>
    </row>
  </sheetData>
  <mergeCells count="1">
    <mergeCell ref="A20:H20"/>
  </mergeCells>
  <printOptions gridLines="1"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14"/>
    <col customWidth="1" min="3" max="3" width="9.86"/>
    <col customWidth="1" min="4" max="4" width="12.29"/>
    <col customWidth="1" min="5" max="5" width="10.43"/>
    <col customWidth="1" min="6" max="6" width="11.57"/>
    <col customWidth="1" min="8" max="8" width="9.71"/>
    <col customWidth="1" min="9" max="9" width="10.71"/>
    <col customWidth="1" min="10" max="10" width="12.86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  <c r="I1" s="43" t="s">
        <v>89</v>
      </c>
      <c r="J1" s="2" t="s">
        <v>90</v>
      </c>
      <c r="K1" s="7" t="s">
        <v>91</v>
      </c>
      <c r="L1" s="7" t="s">
        <v>92</v>
      </c>
      <c r="M1" s="44" t="s">
        <v>93</v>
      </c>
      <c r="N1" s="7" t="s">
        <v>94</v>
      </c>
      <c r="O1" s="6" t="s">
        <v>95</v>
      </c>
      <c r="P1" s="6" t="s">
        <v>96</v>
      </c>
      <c r="Q1" s="6" t="s">
        <v>97</v>
      </c>
      <c r="R1" s="5" t="s">
        <v>13</v>
      </c>
      <c r="S1" s="6" t="s">
        <v>14</v>
      </c>
      <c r="T1" s="6" t="s">
        <v>15</v>
      </c>
      <c r="U1" s="4" t="s">
        <v>16</v>
      </c>
      <c r="V1" s="7" t="s">
        <v>17</v>
      </c>
      <c r="W1" s="6" t="s">
        <v>98</v>
      </c>
      <c r="X1" s="4" t="s">
        <v>18</v>
      </c>
      <c r="Y1" s="4" t="s">
        <v>99</v>
      </c>
      <c r="Z1" s="4" t="s">
        <v>100</v>
      </c>
    </row>
    <row r="2">
      <c r="A2" s="45" t="s">
        <v>101</v>
      </c>
      <c r="B2" s="12" t="s">
        <v>102</v>
      </c>
      <c r="C2" s="12" t="s">
        <v>103</v>
      </c>
      <c r="D2" s="12" t="s">
        <v>104</v>
      </c>
      <c r="E2" s="12" t="s">
        <v>103</v>
      </c>
      <c r="F2" s="13"/>
      <c r="G2" s="13" t="s">
        <v>105</v>
      </c>
      <c r="H2" s="15">
        <v>5.0</v>
      </c>
      <c r="I2" s="16">
        <v>5.0</v>
      </c>
      <c r="J2" s="12">
        <v>632.0</v>
      </c>
      <c r="K2" s="27">
        <f t="shared" ref="K2:K10" si="1">J2*H2</f>
        <v>3160</v>
      </c>
      <c r="L2" s="11">
        <f t="shared" ref="L2:L10" si="2">J2/$X$2</f>
        <v>95.26561067</v>
      </c>
      <c r="M2" s="46">
        <f t="shared" ref="M2:M10" si="3">L2+P2</f>
        <v>101.6166514</v>
      </c>
      <c r="N2" s="18">
        <f t="shared" ref="N2:N10" si="4">L2*H2</f>
        <v>476.3280534</v>
      </c>
      <c r="O2" s="18">
        <f t="shared" ref="O2:O10" si="5">M2*H2</f>
        <v>508.0832569</v>
      </c>
      <c r="P2" s="9">
        <f t="shared" ref="P2:P10" si="6">Q2/H2</f>
        <v>6.351040711</v>
      </c>
      <c r="Q2" s="9">
        <f t="shared" ref="Q2:Q11" si="7">(N2/SUM($N$2:$N$10))*$Y$2</f>
        <v>31.75520356</v>
      </c>
      <c r="R2" s="19">
        <f t="shared" ref="R2:R10" si="8">M2+(M2*0.08)</f>
        <v>109.7459835</v>
      </c>
      <c r="S2" s="20">
        <f t="shared" ref="S2:S10" si="9">R2-M2</f>
        <v>8.129332111</v>
      </c>
      <c r="T2" s="21">
        <f t="shared" ref="T2:T10" si="10">U2-R2</f>
        <v>12.19399817</v>
      </c>
      <c r="U2" s="11">
        <f t="shared" ref="U2:U10" si="11">M2+(M2*0.2)</f>
        <v>121.9399817</v>
      </c>
      <c r="V2" s="18">
        <f t="shared" ref="V2:V10" si="12">M2+(M2*0.3)</f>
        <v>132.1016468</v>
      </c>
      <c r="W2" s="9">
        <f t="shared" ref="W2:W10" si="13">(H2-I2)*T2</f>
        <v>0</v>
      </c>
      <c r="X2" s="18">
        <f>K11/Z2</f>
        <v>6.634083333</v>
      </c>
      <c r="Y2" s="9">
        <v>400.0</v>
      </c>
      <c r="Z2" s="9">
        <v>6000.0</v>
      </c>
    </row>
    <row r="3">
      <c r="A3" s="45" t="s">
        <v>101</v>
      </c>
      <c r="B3" s="11" t="s">
        <v>106</v>
      </c>
      <c r="C3" s="12" t="s">
        <v>107</v>
      </c>
      <c r="D3" s="12" t="s">
        <v>104</v>
      </c>
      <c r="E3" s="12" t="s">
        <v>107</v>
      </c>
      <c r="F3" s="13"/>
      <c r="G3" s="13" t="s">
        <v>108</v>
      </c>
      <c r="H3" s="15">
        <v>5.0</v>
      </c>
      <c r="I3" s="16">
        <v>5.0</v>
      </c>
      <c r="J3" s="12">
        <v>852.0</v>
      </c>
      <c r="K3" s="27">
        <f t="shared" si="1"/>
        <v>4260</v>
      </c>
      <c r="L3" s="11">
        <f t="shared" si="2"/>
        <v>128.4276903</v>
      </c>
      <c r="M3" s="46">
        <f t="shared" si="3"/>
        <v>136.9895364</v>
      </c>
      <c r="N3" s="18">
        <f t="shared" si="4"/>
        <v>642.1384517</v>
      </c>
      <c r="O3" s="18">
        <f t="shared" si="5"/>
        <v>684.9476818</v>
      </c>
      <c r="P3" s="9">
        <f t="shared" si="6"/>
        <v>8.561846022</v>
      </c>
      <c r="Q3" s="9">
        <f t="shared" si="7"/>
        <v>42.80923011</v>
      </c>
      <c r="R3" s="19">
        <f t="shared" si="8"/>
        <v>147.9486993</v>
      </c>
      <c r="S3" s="20">
        <f t="shared" si="9"/>
        <v>10.95916291</v>
      </c>
      <c r="T3" s="21">
        <f t="shared" si="10"/>
        <v>16.43874436</v>
      </c>
      <c r="U3" s="11">
        <f t="shared" si="11"/>
        <v>164.3874436</v>
      </c>
      <c r="V3" s="18">
        <f t="shared" si="12"/>
        <v>178.0863973</v>
      </c>
      <c r="W3" s="9">
        <f t="shared" si="13"/>
        <v>0</v>
      </c>
    </row>
    <row r="4">
      <c r="A4" s="45" t="s">
        <v>101</v>
      </c>
      <c r="B4" s="12" t="s">
        <v>109</v>
      </c>
      <c r="C4" s="12" t="s">
        <v>110</v>
      </c>
      <c r="D4" s="12" t="s">
        <v>104</v>
      </c>
      <c r="E4" s="12" t="s">
        <v>110</v>
      </c>
      <c r="F4" s="13"/>
      <c r="G4" s="13" t="s">
        <v>111</v>
      </c>
      <c r="H4" s="47">
        <v>10.0</v>
      </c>
      <c r="I4" s="48">
        <v>10.0</v>
      </c>
      <c r="J4" s="12">
        <v>206.0</v>
      </c>
      <c r="K4" s="27">
        <f t="shared" si="1"/>
        <v>2060</v>
      </c>
      <c r="L4" s="11">
        <f t="shared" si="2"/>
        <v>31.0517655</v>
      </c>
      <c r="M4" s="46">
        <f t="shared" si="3"/>
        <v>33.1218832</v>
      </c>
      <c r="N4" s="18">
        <f t="shared" si="4"/>
        <v>310.517655</v>
      </c>
      <c r="O4" s="18">
        <f t="shared" si="5"/>
        <v>331.218832</v>
      </c>
      <c r="P4" s="9">
        <f t="shared" si="6"/>
        <v>2.0701177</v>
      </c>
      <c r="Q4" s="9">
        <f t="shared" si="7"/>
        <v>20.701177</v>
      </c>
      <c r="R4" s="19">
        <f t="shared" si="8"/>
        <v>35.77163386</v>
      </c>
      <c r="S4" s="20">
        <f t="shared" si="9"/>
        <v>2.649750656</v>
      </c>
      <c r="T4" s="21">
        <f t="shared" si="10"/>
        <v>3.974625984</v>
      </c>
      <c r="U4" s="11">
        <f t="shared" si="11"/>
        <v>39.74625984</v>
      </c>
      <c r="V4" s="18">
        <f t="shared" si="12"/>
        <v>43.05844817</v>
      </c>
      <c r="W4" s="9">
        <f t="shared" si="13"/>
        <v>0</v>
      </c>
    </row>
    <row r="5">
      <c r="A5" s="10" t="s">
        <v>24</v>
      </c>
      <c r="B5" s="11" t="s">
        <v>40</v>
      </c>
      <c r="C5" s="11" t="s">
        <v>41</v>
      </c>
      <c r="D5" s="12" t="s">
        <v>27</v>
      </c>
      <c r="E5" s="12" t="s">
        <v>42</v>
      </c>
      <c r="F5" s="13"/>
      <c r="G5" s="14" t="s">
        <v>43</v>
      </c>
      <c r="H5" s="15">
        <v>10.0</v>
      </c>
      <c r="I5" s="16">
        <v>10.0</v>
      </c>
      <c r="J5" s="12">
        <v>482.0</v>
      </c>
      <c r="K5" s="27">
        <f t="shared" si="1"/>
        <v>4820</v>
      </c>
      <c r="L5" s="11">
        <f t="shared" si="2"/>
        <v>72.65510181</v>
      </c>
      <c r="M5" s="46">
        <f t="shared" si="3"/>
        <v>77.49877526</v>
      </c>
      <c r="N5" s="18">
        <f t="shared" si="4"/>
        <v>726.5510181</v>
      </c>
      <c r="O5" s="18">
        <f t="shared" si="5"/>
        <v>774.9877526</v>
      </c>
      <c r="P5" s="9">
        <f t="shared" si="6"/>
        <v>4.843673454</v>
      </c>
      <c r="Q5" s="9">
        <f t="shared" si="7"/>
        <v>48.43673454</v>
      </c>
      <c r="R5" s="19">
        <f t="shared" si="8"/>
        <v>83.69867729</v>
      </c>
      <c r="S5" s="20">
        <f t="shared" si="9"/>
        <v>6.199902021</v>
      </c>
      <c r="T5" s="21">
        <f t="shared" si="10"/>
        <v>9.299853032</v>
      </c>
      <c r="U5" s="11">
        <f t="shared" si="11"/>
        <v>92.99853032</v>
      </c>
      <c r="V5" s="18">
        <f t="shared" si="12"/>
        <v>100.7484078</v>
      </c>
      <c r="W5" s="9">
        <f t="shared" si="13"/>
        <v>0</v>
      </c>
    </row>
    <row r="6">
      <c r="A6" s="10" t="s">
        <v>24</v>
      </c>
      <c r="B6" s="11" t="s">
        <v>36</v>
      </c>
      <c r="C6" s="11" t="s">
        <v>37</v>
      </c>
      <c r="D6" s="12" t="s">
        <v>27</v>
      </c>
      <c r="E6" s="12" t="s">
        <v>38</v>
      </c>
      <c r="F6" s="13"/>
      <c r="G6" s="14" t="s">
        <v>39</v>
      </c>
      <c r="H6" s="15">
        <v>10.0</v>
      </c>
      <c r="I6" s="16">
        <v>10.0</v>
      </c>
      <c r="J6" s="12">
        <v>350.4</v>
      </c>
      <c r="K6" s="27">
        <f t="shared" si="1"/>
        <v>3504</v>
      </c>
      <c r="L6" s="11">
        <f t="shared" si="2"/>
        <v>52.8181487</v>
      </c>
      <c r="M6" s="46">
        <f t="shared" si="3"/>
        <v>56.33935862</v>
      </c>
      <c r="N6" s="18">
        <f t="shared" si="4"/>
        <v>528.181487</v>
      </c>
      <c r="O6" s="18">
        <f t="shared" si="5"/>
        <v>563.3935862</v>
      </c>
      <c r="P6" s="9">
        <f t="shared" si="6"/>
        <v>3.521209913</v>
      </c>
      <c r="Q6" s="9">
        <f t="shared" si="7"/>
        <v>35.21209913</v>
      </c>
      <c r="R6" s="19">
        <f t="shared" si="8"/>
        <v>60.8465073</v>
      </c>
      <c r="S6" s="20">
        <f t="shared" si="9"/>
        <v>4.507148689</v>
      </c>
      <c r="T6" s="21">
        <f t="shared" si="10"/>
        <v>6.760723034</v>
      </c>
      <c r="U6" s="11">
        <f t="shared" si="11"/>
        <v>67.60723034</v>
      </c>
      <c r="V6" s="18">
        <f t="shared" si="12"/>
        <v>73.2411662</v>
      </c>
      <c r="W6" s="9">
        <f t="shared" si="13"/>
        <v>0</v>
      </c>
    </row>
    <row r="7">
      <c r="A7" s="10" t="s">
        <v>24</v>
      </c>
      <c r="B7" s="12" t="s">
        <v>112</v>
      </c>
      <c r="C7" s="12" t="s">
        <v>113</v>
      </c>
      <c r="D7" s="12" t="s">
        <v>114</v>
      </c>
      <c r="E7" s="12" t="s">
        <v>113</v>
      </c>
      <c r="F7" s="13"/>
      <c r="G7" s="14" t="s">
        <v>39</v>
      </c>
      <c r="H7" s="15">
        <v>35.0</v>
      </c>
      <c r="I7" s="16">
        <v>35.0</v>
      </c>
      <c r="J7" s="12">
        <v>314.0</v>
      </c>
      <c r="K7" s="27">
        <f t="shared" si="1"/>
        <v>10990</v>
      </c>
      <c r="L7" s="11">
        <f t="shared" si="2"/>
        <v>47.33133188</v>
      </c>
      <c r="M7" s="46">
        <f t="shared" si="3"/>
        <v>50.48675401</v>
      </c>
      <c r="N7" s="18">
        <f t="shared" si="4"/>
        <v>1656.596616</v>
      </c>
      <c r="O7" s="18">
        <f t="shared" si="5"/>
        <v>1767.03639</v>
      </c>
      <c r="P7" s="9">
        <f t="shared" si="6"/>
        <v>3.155422126</v>
      </c>
      <c r="Q7" s="9">
        <f t="shared" si="7"/>
        <v>110.4397744</v>
      </c>
      <c r="R7" s="19">
        <f t="shared" si="8"/>
        <v>54.52569433</v>
      </c>
      <c r="S7" s="20">
        <f t="shared" si="9"/>
        <v>4.038940321</v>
      </c>
      <c r="T7" s="21">
        <f t="shared" si="10"/>
        <v>6.058410481</v>
      </c>
      <c r="U7" s="11">
        <f t="shared" si="11"/>
        <v>60.58410481</v>
      </c>
      <c r="V7" s="18">
        <f t="shared" si="12"/>
        <v>65.63278021</v>
      </c>
      <c r="W7" s="9">
        <f t="shared" si="13"/>
        <v>0</v>
      </c>
    </row>
    <row r="8">
      <c r="A8" s="10" t="s">
        <v>24</v>
      </c>
      <c r="B8" s="12" t="s">
        <v>115</v>
      </c>
      <c r="C8" s="12" t="s">
        <v>116</v>
      </c>
      <c r="D8" s="12" t="s">
        <v>114</v>
      </c>
      <c r="E8" s="12" t="s">
        <v>116</v>
      </c>
      <c r="F8" s="13"/>
      <c r="G8" s="14" t="s">
        <v>39</v>
      </c>
      <c r="H8" s="15">
        <v>7.0</v>
      </c>
      <c r="I8" s="16">
        <v>7.0</v>
      </c>
      <c r="J8" s="12">
        <v>1131.5</v>
      </c>
      <c r="K8" s="27">
        <f t="shared" si="1"/>
        <v>7920.5</v>
      </c>
      <c r="L8" s="11">
        <f t="shared" si="2"/>
        <v>170.5586052</v>
      </c>
      <c r="M8" s="46">
        <f t="shared" si="3"/>
        <v>181.9291789</v>
      </c>
      <c r="N8" s="18">
        <f t="shared" si="4"/>
        <v>1193.910236</v>
      </c>
      <c r="O8" s="18">
        <f t="shared" si="5"/>
        <v>1273.504252</v>
      </c>
      <c r="P8" s="9">
        <f t="shared" si="6"/>
        <v>11.37057368</v>
      </c>
      <c r="Q8" s="9">
        <f t="shared" si="7"/>
        <v>79.59401575</v>
      </c>
      <c r="R8" s="19">
        <f t="shared" si="8"/>
        <v>196.4835132</v>
      </c>
      <c r="S8" s="20">
        <f t="shared" si="9"/>
        <v>14.55433431</v>
      </c>
      <c r="T8" s="21">
        <f t="shared" si="10"/>
        <v>21.83150146</v>
      </c>
      <c r="U8" s="11">
        <f t="shared" si="11"/>
        <v>218.3150146</v>
      </c>
      <c r="V8" s="18">
        <f t="shared" si="12"/>
        <v>236.5079325</v>
      </c>
      <c r="W8" s="9">
        <f t="shared" si="13"/>
        <v>0</v>
      </c>
    </row>
    <row r="9">
      <c r="A9" s="10" t="s">
        <v>24</v>
      </c>
      <c r="B9" s="12" t="s">
        <v>117</v>
      </c>
      <c r="C9" s="12" t="s">
        <v>118</v>
      </c>
      <c r="D9" s="12" t="s">
        <v>114</v>
      </c>
      <c r="E9" s="12" t="s">
        <v>118</v>
      </c>
      <c r="F9" s="13"/>
      <c r="G9" s="14" t="s">
        <v>39</v>
      </c>
      <c r="H9" s="15">
        <v>3.0</v>
      </c>
      <c r="I9" s="16">
        <v>3.0</v>
      </c>
      <c r="J9" s="12">
        <v>555.0</v>
      </c>
      <c r="K9" s="27">
        <f t="shared" si="1"/>
        <v>1665</v>
      </c>
      <c r="L9" s="11">
        <f t="shared" si="2"/>
        <v>83.65888279</v>
      </c>
      <c r="M9" s="46">
        <f t="shared" si="3"/>
        <v>89.23614164</v>
      </c>
      <c r="N9" s="18">
        <f t="shared" si="4"/>
        <v>250.9766484</v>
      </c>
      <c r="O9" s="18">
        <f t="shared" si="5"/>
        <v>267.7084249</v>
      </c>
      <c r="P9" s="9">
        <f t="shared" si="6"/>
        <v>5.577258853</v>
      </c>
      <c r="Q9" s="9">
        <f t="shared" si="7"/>
        <v>16.73177656</v>
      </c>
      <c r="R9" s="19">
        <f t="shared" si="8"/>
        <v>96.37503297</v>
      </c>
      <c r="S9" s="20">
        <f t="shared" si="9"/>
        <v>7.138891331</v>
      </c>
      <c r="T9" s="21">
        <f t="shared" si="10"/>
        <v>10.708337</v>
      </c>
      <c r="U9" s="11">
        <f t="shared" si="11"/>
        <v>107.08337</v>
      </c>
      <c r="V9" s="18">
        <f t="shared" si="12"/>
        <v>116.0069841</v>
      </c>
      <c r="W9" s="9">
        <f t="shared" si="13"/>
        <v>0</v>
      </c>
    </row>
    <row r="10">
      <c r="A10" s="10" t="s">
        <v>71</v>
      </c>
      <c r="B10" s="12" t="s">
        <v>119</v>
      </c>
      <c r="C10" s="11" t="s">
        <v>120</v>
      </c>
      <c r="D10" s="12" t="s">
        <v>121</v>
      </c>
      <c r="E10" s="11" t="s">
        <v>120</v>
      </c>
      <c r="F10" s="13"/>
      <c r="G10" s="14" t="s">
        <v>77</v>
      </c>
      <c r="H10" s="47">
        <v>30.0</v>
      </c>
      <c r="I10" s="48">
        <v>30.0</v>
      </c>
      <c r="J10" s="12">
        <v>47.5</v>
      </c>
      <c r="K10" s="27">
        <f t="shared" si="1"/>
        <v>1425</v>
      </c>
      <c r="L10" s="11">
        <f t="shared" si="2"/>
        <v>7.159994473</v>
      </c>
      <c r="M10" s="46">
        <f t="shared" si="3"/>
        <v>7.637327438</v>
      </c>
      <c r="N10" s="18">
        <f t="shared" si="4"/>
        <v>214.7998342</v>
      </c>
      <c r="O10" s="18">
        <f t="shared" si="5"/>
        <v>229.1198231</v>
      </c>
      <c r="P10" s="9">
        <f t="shared" si="6"/>
        <v>0.4773329649</v>
      </c>
      <c r="Q10" s="9">
        <f t="shared" si="7"/>
        <v>14.31998895</v>
      </c>
      <c r="R10" s="19">
        <f t="shared" si="8"/>
        <v>8.248313633</v>
      </c>
      <c r="S10" s="20">
        <f t="shared" si="9"/>
        <v>0.610986195</v>
      </c>
      <c r="T10" s="21">
        <f t="shared" si="10"/>
        <v>0.9164792925</v>
      </c>
      <c r="U10" s="11">
        <f t="shared" si="11"/>
        <v>9.164792925</v>
      </c>
      <c r="V10" s="18">
        <f t="shared" si="12"/>
        <v>9.928525669</v>
      </c>
      <c r="W10" s="9">
        <f t="shared" si="13"/>
        <v>0</v>
      </c>
    </row>
    <row r="11">
      <c r="K11" s="33">
        <f>SUM(K2:K10)</f>
        <v>39804.5</v>
      </c>
      <c r="N11" s="34">
        <f t="shared" ref="N11:O11" si="14">SUM(N2:N10)</f>
        <v>6000</v>
      </c>
      <c r="O11" s="34">
        <f t="shared" si="14"/>
        <v>6400</v>
      </c>
      <c r="Q11" s="34">
        <f t="shared" si="7"/>
        <v>400</v>
      </c>
    </row>
    <row r="14">
      <c r="O14" s="49"/>
    </row>
    <row r="21">
      <c r="I21" s="50"/>
    </row>
  </sheetData>
  <drawing r:id="rId1"/>
</worksheet>
</file>